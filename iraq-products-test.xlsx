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نتجات تيست العراق" sheetId="1" state="visible" r:id="rId3"/>
  </sheets>
  <definedNames>
    <definedName function="false" hidden="false" localSheetId="0" name="_xlnm.Print_Titles" vbProcedure="false">'منتجات تيست العراق'!$4:$4</definedName>
    <definedName function="false" hidden="true" localSheetId="0" name="_xlnm._FilterDatabase" vbProcedure="false">'منتجات تيست العراق'!$A$4:$O$37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6" authorId="0">
      <text>
        <r>
          <rPr>
            <sz val="10"/>
            <rFont val="FreeSans"/>
            <family val="2"/>
          </rPr>
          <t xml:space="preserve">صفحة المنتج بتقول خصم على قطعتين بس مش ظاهر سعر العرض نفسه</t>
        </r>
      </text>
    </comment>
    <comment ref="I34" authorId="0">
      <text>
        <r>
          <rPr>
            <sz val="10"/>
            <rFont val="FreeSans"/>
            <family val="2"/>
          </rPr>
          <t xml:space="preserve">صفحة المنتج بتقول خصم على قطعتين بس مش ظاهر سعر العرض نفسه</t>
        </r>
      </text>
    </comment>
  </commentList>
</comments>
</file>

<file path=xl/sharedStrings.xml><?xml version="1.0" encoding="utf-8"?>
<sst xmlns="http://schemas.openxmlformats.org/spreadsheetml/2006/main" count="207" uniqueCount="114">
  <si>
    <t xml:space="preserve">منتجات تيست السوق العراقي - Taager</t>
  </si>
  <si>
    <t xml:space="preserve">الأسعار بالدينار العراقي (د.ع) كما ظهرت في السكرين شوت (السعر الأصلي) - تاريخ السكرين شوت 26-10-2026</t>
  </si>
  <si>
    <t xml:space="preserve">#</t>
  </si>
  <si>
    <t xml:space="preserve">القسم</t>
  </si>
  <si>
    <t xml:space="preserve">اسم المنتج</t>
  </si>
  <si>
    <t xml:space="preserve">كود المنتج SKU</t>
  </si>
  <si>
    <t xml:space="preserve">السعر (د.ع)</t>
  </si>
  <si>
    <t xml:space="preserve">أقل سعر بيع (د.ع)</t>
  </si>
  <si>
    <t xml:space="preserve">أقل ربح (د.ع)</t>
  </si>
  <si>
    <t xml:space="preserve">عرض الكمية (قطع)</t>
  </si>
  <si>
    <t xml:space="preserve">سعر العرض (د.ع)</t>
  </si>
  <si>
    <t xml:space="preserve">سعر القطعة في العرض</t>
  </si>
  <si>
    <t xml:space="preserve">نسبة الخصم</t>
  </si>
  <si>
    <t xml:space="preserve">نسبة التأكيد</t>
  </si>
  <si>
    <t xml:space="preserve">تقييم التأكيد</t>
  </si>
  <si>
    <t xml:space="preserve">ملاحظات</t>
  </si>
  <si>
    <t xml:space="preserve">السكرين شوت</t>
  </si>
  <si>
    <t xml:space="preserve">ملخص</t>
  </si>
  <si>
    <t xml:space="preserve">تنظيف</t>
  </si>
  <si>
    <t xml:space="preserve">مكنسة كهربائية لاسلكية محمولة 2 في 1</t>
  </si>
  <si>
    <t xml:space="preserve">غير ظاهر</t>
  </si>
  <si>
    <t xml:space="preserve">ضمان عام كامل</t>
  </si>
  <si>
    <t xml:space="preserve">Screenshot 075009</t>
  </si>
  <si>
    <t xml:space="preserve">عدد المنتجات</t>
  </si>
  <si>
    <t xml:space="preserve">عرض جهاز تنظيف بالبخار بالضغط العالي</t>
  </si>
  <si>
    <t xml:space="preserve">Screenshot 075104</t>
  </si>
  <si>
    <t xml:space="preserve">متوسط السعر</t>
  </si>
  <si>
    <t xml:space="preserve">المكنسة القابلة لإعادة الشحن الحديثة 3 في 1</t>
  </si>
  <si>
    <t xml:space="preserve">Screenshot 075244</t>
  </si>
  <si>
    <t xml:space="preserve">أقل سعر</t>
  </si>
  <si>
    <t xml:space="preserve">المكنسة القابلة لإعادة الشحن 3 في 1 - ضمان 6 أشهر</t>
  </si>
  <si>
    <t xml:space="preserve">ضمان 6 أشهر</t>
  </si>
  <si>
    <t xml:space="preserve">Screenshot 075325</t>
  </si>
  <si>
    <t xml:space="preserve">أعلى سعر</t>
  </si>
  <si>
    <t xml:space="preserve">مكنسة تنظيف السجاد و المفروشات</t>
  </si>
  <si>
    <t xml:space="preserve">Screenshot 075349</t>
  </si>
  <si>
    <t xml:space="preserve">منتجات بـ SKU</t>
  </si>
  <si>
    <t xml:space="preserve">مكنسة روبوت Smart Home - ضمان 6 أشهر</t>
  </si>
  <si>
    <t xml:space="preserve">مع طقم شموع ديكور هدية</t>
  </si>
  <si>
    <t xml:space="preserve">Screenshot 075356</t>
  </si>
  <si>
    <t xml:space="preserve">مكنسة RAF الكهربائية الحديثة - ضمان 6 أشهر</t>
  </si>
  <si>
    <t xml:space="preserve">600 وات - عرض الكمية مش واضح في الصورة</t>
  </si>
  <si>
    <t xml:space="preserve">Screenshot 075438</t>
  </si>
  <si>
    <t xml:space="preserve">مطبخ</t>
  </si>
  <si>
    <t xml:space="preserve">موقد 4 عيون بستاند</t>
  </si>
  <si>
    <t xml:space="preserve">مفرمة اللحوم و الخضروات الحديثة 3 لتر</t>
  </si>
  <si>
    <t xml:space="preserve">Screenshot 075112</t>
  </si>
  <si>
    <t xml:space="preserve">قطاعة الخضروات الحديثة</t>
  </si>
  <si>
    <t xml:space="preserve">تعمل بالشحن</t>
  </si>
  <si>
    <t xml:space="preserve">خلاط Silver Crest + طاحونة - ضمان 6 أشهر</t>
  </si>
  <si>
    <t xml:space="preserve">Screenshot 075333</t>
  </si>
  <si>
    <t xml:space="preserve">محضرة الطعام المتكاملة 10 في 1</t>
  </si>
  <si>
    <t xml:space="preserve">IQ030401ROPM99</t>
  </si>
  <si>
    <t xml:space="preserve">لا توجد إحصائيات بعد (حسب صفحة المنتج)</t>
  </si>
  <si>
    <t xml:space="preserve">خصومات كمية حتى 3 قطع</t>
  </si>
  <si>
    <t xml:space="preserve">Screenshot 090721</t>
  </si>
  <si>
    <t xml:space="preserve">تدفئة</t>
  </si>
  <si>
    <t xml:space="preserve">صوبه منضدية مودكس</t>
  </si>
  <si>
    <t xml:space="preserve">Screenshot 075207</t>
  </si>
  <si>
    <t xml:space="preserve">صوبة كهربائية 180 درجة</t>
  </si>
  <si>
    <t xml:space="preserve">Screenshot 075222</t>
  </si>
  <si>
    <t xml:space="preserve">مفروشات</t>
  </si>
  <si>
    <t xml:space="preserve">مفرش تخم بوهيمي (5 قطع) 10 مقاعد - رمادي غامق</t>
  </si>
  <si>
    <t xml:space="preserve">Screenshot 075130</t>
  </si>
  <si>
    <t xml:space="preserve">مفرش تخم بوهيمي (5 قطع) 10 مقاعد - رمادي فاتح</t>
  </si>
  <si>
    <t xml:space="preserve">Screenshot 075544</t>
  </si>
  <si>
    <t xml:space="preserve">مفرش انتريه سابيا مطبوع رمادي</t>
  </si>
  <si>
    <t xml:space="preserve">Screenshot 075451</t>
  </si>
  <si>
    <t xml:space="preserve">كفر انترية جكار تغطيه بالكامل - رمادي فاتح</t>
  </si>
  <si>
    <t xml:space="preserve">طقم كفر انتريه 5 قطع جاكار - رمادي فاتح</t>
  </si>
  <si>
    <t xml:space="preserve">Screenshot 075503</t>
  </si>
  <si>
    <t xml:space="preserve">أثاث وتخييم</t>
  </si>
  <si>
    <t xml:space="preserve">كرسي استراحة هزاز</t>
  </si>
  <si>
    <t xml:space="preserve">Screenshot 075255</t>
  </si>
  <si>
    <t xml:space="preserve">سرير هوائي قابل للنفخ - Double Size</t>
  </si>
  <si>
    <t xml:space="preserve">Screenshot 075152</t>
  </si>
  <si>
    <t xml:space="preserve">سرير هوائي قابل للنفخ - Single Size + منفاخ هدية (INTEX)</t>
  </si>
  <si>
    <t xml:space="preserve">منفاخ هدية</t>
  </si>
  <si>
    <t xml:space="preserve">Screenshot 075155</t>
  </si>
  <si>
    <t xml:space="preserve">سرير هوائي قابل للنفخ - Single Size (INTEX Dura-Beam)</t>
  </si>
  <si>
    <t xml:space="preserve">مغسلة متحركة سهلة التنقل</t>
  </si>
  <si>
    <t xml:space="preserve">مناسبة للرحلات والتخييم</t>
  </si>
  <si>
    <t xml:space="preserve">Screenshot 075703</t>
  </si>
  <si>
    <t xml:space="preserve">طاقة شمسية</t>
  </si>
  <si>
    <t xml:space="preserve">كشاف طاقة شمسية 12 لمبة - Solar Sensor Light</t>
  </si>
  <si>
    <t xml:space="preserve">حساس حركة</t>
  </si>
  <si>
    <t xml:space="preserve">Screenshot 075338</t>
  </si>
  <si>
    <t xml:space="preserve">مولد كهرباء يعمل بالطاقة الشمسية 12 فولت - 7 أمبير</t>
  </si>
  <si>
    <t xml:space="preserve">Screenshot 075707</t>
  </si>
  <si>
    <t xml:space="preserve">أمان وأقفال</t>
  </si>
  <si>
    <t xml:space="preserve">قفل سيارة ذكي للباركينج</t>
  </si>
  <si>
    <t xml:space="preserve">Screenshot 075030</t>
  </si>
  <si>
    <t xml:space="preserve">قفل باب ذكي Smart Lock</t>
  </si>
  <si>
    <t xml:space="preserve">Screenshot 075525</t>
  </si>
  <si>
    <t xml:space="preserve">عزل وصيانة</t>
  </si>
  <si>
    <t xml:space="preserve">جينرال ايبوكسي (عازل متعدد الاستخدامات)</t>
  </si>
  <si>
    <t xml:space="preserve">Screenshot 074944</t>
  </si>
  <si>
    <t xml:space="preserve">سبراي مزيل الصدأ GETSUN</t>
  </si>
  <si>
    <t xml:space="preserve">IQ030107SPLK99</t>
  </si>
  <si>
    <t xml:space="preserve">جيد</t>
  </si>
  <si>
    <t xml:space="preserve">خصومات كمية حتى 4 قطع</t>
  </si>
  <si>
    <t xml:space="preserve">Screenshot 075017</t>
  </si>
  <si>
    <t xml:space="preserve">المادة السحرية لعزل المياه</t>
  </si>
  <si>
    <t xml:space="preserve">Screenshot 075643</t>
  </si>
  <si>
    <t xml:space="preserve">حمام</t>
  </si>
  <si>
    <t xml:space="preserve">زاوية حمام 4 دور</t>
  </si>
  <si>
    <t xml:space="preserve">Screenshot 075607</t>
  </si>
  <si>
    <t xml:space="preserve">عرض قطعتين فلتر تنقية المياه SWS</t>
  </si>
  <si>
    <t xml:space="preserve">السعر لعرض قطعتين</t>
  </si>
  <si>
    <t xml:space="preserve">■</t>
  </si>
  <si>
    <t xml:space="preserve">غير ظاهر = كود SKU مش ظاهر في السكرين شوت (صورة كارت المنتج بس). افتح صفحة المنتج على Taager واكتب الكود مكانه.</t>
  </si>
  <si>
    <t xml:space="preserve">كود SKU مأخوذ من صفحة المنتج.</t>
  </si>
  <si>
    <t xml:space="preserve">الإحصائيات (أقل سعر بيع، أقل ربح، نسبة التأكيد) ظاهرة بس في السكرين شوت اللي فاتحة صفحة المنتج. الباقي كروت، فمكتوب عليها غير ظاهر.</t>
  </si>
  <si>
    <t xml:space="preserve">عرض الكمية = عرض عدد قطع بسعر مخفض كما ظهر في الكارت. سعر القطعة في العرض محسوب بمعادلة.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</si>
</sst>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د.ع&quot;;\-#,##0&quot; د.ع&quot;;\-"/>
    <numFmt numFmtId="166" formatCode="0;\-0;\-"/>
    <numFmt numFmtId="167" formatCode="0%"/>
    <numFmt numFmtId="168" formatCode="0%;\-0%;\-"/>
    <numFmt numFmtId="169" formatCode="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47556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1E293B"/>
      <name val="Arial"/>
      <family val="0"/>
      <charset val="1"/>
    </font>
    <font>
      <b val="true"/>
      <sz val="10"/>
      <color rgb="FF1E3A8A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i val="true"/>
      <sz val="9"/>
      <color rgb="FF92400E"/>
      <name val="Arial"/>
      <family val="0"/>
      <charset val="1"/>
    </font>
    <font>
      <b val="true"/>
      <sz val="11"/>
      <color rgb="FF0F172A"/>
      <name val="Arial"/>
      <family val="0"/>
      <charset val="1"/>
    </font>
    <font>
      <i val="true"/>
      <sz val="9"/>
      <color rgb="FF94A3B8"/>
      <name val="Arial"/>
      <family val="0"/>
      <charset val="1"/>
    </font>
    <font>
      <sz val="9"/>
      <color rgb="FF475569"/>
      <name val="Arial"/>
      <family val="0"/>
      <charset val="1"/>
    </font>
    <font>
      <sz val="9"/>
      <color rgb="FF64748B"/>
      <name val="Arial"/>
      <family val="0"/>
      <charset val="1"/>
    </font>
    <font>
      <b val="true"/>
      <sz val="11"/>
      <color rgb="FF1E293B"/>
      <name val="Arial"/>
      <family val="0"/>
      <charset val="1"/>
    </font>
    <font>
      <b val="true"/>
      <sz val="10"/>
      <color rgb="FF9A3412"/>
      <name val="Arial"/>
      <family val="0"/>
      <charset val="1"/>
    </font>
    <font>
      <b val="true"/>
      <sz val="10"/>
      <color rgb="FF7C3AED"/>
      <name val="Arial"/>
      <family val="0"/>
      <charset val="1"/>
    </font>
    <font>
      <b val="true"/>
      <sz val="10"/>
      <color rgb="FF166534"/>
      <name val="Arial"/>
      <family val="0"/>
      <charset val="1"/>
    </font>
    <font>
      <b val="true"/>
      <sz val="10"/>
      <color rgb="FF0F766E"/>
      <name val="Arial"/>
      <family val="0"/>
      <charset val="1"/>
    </font>
    <font>
      <i val="true"/>
      <sz val="9"/>
      <color rgb="FF475569"/>
      <name val="Arial"/>
      <family val="0"/>
      <charset val="1"/>
    </font>
    <font>
      <b val="true"/>
      <sz val="10"/>
      <color rgb="FF991B1B"/>
      <name val="Arial"/>
      <family val="0"/>
      <charset val="1"/>
    </font>
    <font>
      <b val="true"/>
      <sz val="10"/>
      <color rgb="FF5B21B6"/>
      <name val="Arial"/>
      <family val="0"/>
      <charset val="1"/>
    </font>
    <font>
      <b val="true"/>
      <sz val="10"/>
      <color rgb="FF854D0E"/>
      <name val="Arial"/>
      <family val="0"/>
      <charset val="1"/>
    </font>
    <font>
      <b val="true"/>
      <sz val="10"/>
      <color rgb="FF3730A3"/>
      <name val="Arial"/>
      <family val="0"/>
      <charset val="1"/>
    </font>
    <font>
      <b val="true"/>
      <sz val="10"/>
      <color rgb="FF115E59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0"/>
      <color rgb="FF155E75"/>
      <name val="Arial"/>
      <family val="0"/>
      <charset val="1"/>
    </font>
    <font>
      <b val="true"/>
      <sz val="11"/>
      <color rgb="FF92400E"/>
      <name val="Arial"/>
      <family val="0"/>
      <charset val="1"/>
    </font>
    <font>
      <sz val="9"/>
      <color rgb="FF334155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b val="true"/>
      <sz val="11"/>
      <color rgb="FF7C3AED"/>
      <name val="Arial"/>
      <family val="0"/>
      <charset val="1"/>
    </font>
    <font>
      <sz val="10"/>
      <name val="FreeSans"/>
      <family val="2"/>
    </font>
  </fonts>
  <fills count="18">
    <fill>
      <patternFill patternType="none"/>
    </fill>
    <fill>
      <patternFill patternType="gray125"/>
    </fill>
    <fill>
      <patternFill patternType="solid">
        <fgColor rgb="FF1E293B"/>
        <bgColor rgb="FF0F172A"/>
      </patternFill>
    </fill>
    <fill>
      <patternFill patternType="solid">
        <fgColor rgb="FFF1F5F9"/>
        <bgColor rgb="FFEEF2FF"/>
      </patternFill>
    </fill>
    <fill>
      <patternFill patternType="solid">
        <fgColor rgb="FF4338CA"/>
        <bgColor rgb="FF3730A3"/>
      </patternFill>
    </fill>
    <fill>
      <patternFill patternType="solid">
        <fgColor rgb="FFFFFFFF"/>
        <bgColor rgb="FFF8FAFC"/>
      </patternFill>
    </fill>
    <fill>
      <patternFill patternType="solid">
        <fgColor rgb="FFDBEAFE"/>
        <bgColor rgb="FFE0E7FF"/>
      </patternFill>
    </fill>
    <fill>
      <patternFill patternType="solid">
        <fgColor rgb="FFFEF3C7"/>
        <bgColor rgb="FFFEF9C3"/>
      </patternFill>
    </fill>
    <fill>
      <patternFill patternType="solid">
        <fgColor rgb="FFEEF2FF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FFEDD5"/>
        <bgColor rgb="FFFEF3C7"/>
      </patternFill>
    </fill>
    <fill>
      <patternFill patternType="solid">
        <fgColor rgb="FFDCFCE7"/>
        <bgColor rgb="FFCCFBF1"/>
      </patternFill>
    </fill>
    <fill>
      <patternFill patternType="solid">
        <fgColor rgb="FFFEE2E2"/>
        <bgColor rgb="FFFFEDD5"/>
      </patternFill>
    </fill>
    <fill>
      <patternFill patternType="solid">
        <fgColor rgb="FFEDE9FE"/>
        <bgColor rgb="FFEEF2FF"/>
      </patternFill>
    </fill>
    <fill>
      <patternFill patternType="solid">
        <fgColor rgb="FFFEF9C3"/>
        <bgColor rgb="FFFEF3C7"/>
      </patternFill>
    </fill>
    <fill>
      <patternFill patternType="solid">
        <fgColor rgb="FFE0E7FF"/>
        <bgColor rgb="FFDBEAFE"/>
      </patternFill>
    </fill>
    <fill>
      <patternFill patternType="solid">
        <fgColor rgb="FFCCFBF1"/>
        <bgColor rgb="FFCFFAFE"/>
      </patternFill>
    </fill>
    <fill>
      <patternFill patternType="solid">
        <fgColor rgb="FFCFFAFE"/>
        <bgColor rgb="FFCCFB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0">
    <dxf>
      <fill>
        <patternFill patternType="solid">
          <fgColor rgb="FF4338CA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CFFAFE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15E59"/>
          <bgColor rgb="FF000000"/>
        </patternFill>
      </fill>
    </dxf>
    <dxf>
      <fill>
        <patternFill patternType="solid">
          <fgColor rgb="FF155E7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3730A3"/>
          <bgColor rgb="FF000000"/>
        </patternFill>
      </fill>
    </dxf>
    <dxf>
      <fill>
        <patternFill patternType="solid">
          <fgColor rgb="FF5B21B6"/>
          <bgColor rgb="FF000000"/>
        </patternFill>
      </fill>
    </dxf>
    <dxf>
      <fill>
        <patternFill patternType="solid">
          <fgColor rgb="FF854D0E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6474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1F5F9"/>
      <rgbColor rgb="FFFF00FF"/>
      <rgbColor rgb="FF00FFFF"/>
      <rgbColor rgb="FF991B1B"/>
      <rgbColor rgb="FF166534"/>
      <rgbColor rgb="FF000080"/>
      <rgbColor rgb="FF808000"/>
      <rgbColor rgb="FF5B21B6"/>
      <rgbColor rgb="FF0F766E"/>
      <rgbColor rgb="FFE0E7FF"/>
      <rgbColor rgb="FF475569"/>
      <rgbColor rgb="FFEEF2FF"/>
      <rgbColor rgb="FF92400E"/>
      <rgbColor rgb="FFFEF9C3"/>
      <rgbColor rgb="FFCFFAFE"/>
      <rgbColor rgb="FF660066"/>
      <rgbColor rgb="FFFF8080"/>
      <rgbColor rgb="FF115E59"/>
      <rgbColor rgb="FFCBD5E1"/>
      <rgbColor rgb="FF000080"/>
      <rgbColor rgb="FFFF00FF"/>
      <rgbColor rgb="FFF8FAFC"/>
      <rgbColor rgb="FF00FFFF"/>
      <rgbColor rgb="FF7C3AED"/>
      <rgbColor rgb="FF800000"/>
      <rgbColor rgb="FF155E75"/>
      <rgbColor rgb="FF0000FF"/>
      <rgbColor rgb="FF00CCFF"/>
      <rgbColor rgb="FFCCFBF1"/>
      <rgbColor rgb="FFDCFCE7"/>
      <rgbColor rgb="FFFEF3C7"/>
      <rgbColor rgb="FFDBEAFE"/>
      <rgbColor rgb="FFFFEDD5"/>
      <rgbColor rgb="FFEDE9FE"/>
      <rgbColor rgb="FFFEE2E2"/>
      <rgbColor rgb="FF4338CA"/>
      <rgbColor rgb="FF33CCCC"/>
      <rgbColor rgb="FF99CC00"/>
      <rgbColor rgb="FFFFCC00"/>
      <rgbColor rgb="FFFF9900"/>
      <rgbColor rgb="FFFF6600"/>
      <rgbColor rgb="FF64748B"/>
      <rgbColor rgb="FF94A3B8"/>
      <rgbColor rgb="FF1E3A8A"/>
      <rgbColor rgb="FF339966"/>
      <rgbColor rgb="FF0F172A"/>
      <rgbColor rgb="FF334155"/>
      <rgbColor rgb="FF9A3412"/>
      <rgbColor rgb="FF854D0E"/>
      <rgbColor rgb="FF3730A3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2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48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6"/>
    <col collapsed="false" customWidth="true" hidden="false" outlineLevel="0" max="10" min="10" style="0" width="17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24"/>
    <col collapsed="false" customWidth="true" hidden="false" outlineLevel="0" max="14" min="14" style="0" width="34"/>
    <col collapsed="false" customWidth="true" hidden="false" outlineLevel="0" max="15" min="15" style="0" width="22"/>
    <col collapsed="false" customWidth="true" hidden="false" outlineLevel="0" max="18" min="17" style="0" width="16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Q4" s="4" t="s">
        <v>17</v>
      </c>
      <c r="R4" s="4"/>
    </row>
    <row r="5" customFormat="false" ht="30" hidden="false" customHeight="true" outlineLevel="0" collapsed="false">
      <c r="A5" s="5" t="n">
        <v>1</v>
      </c>
      <c r="B5" s="6" t="s">
        <v>18</v>
      </c>
      <c r="C5" s="7" t="s">
        <v>19</v>
      </c>
      <c r="D5" s="8" t="s">
        <v>20</v>
      </c>
      <c r="E5" s="9" t="n">
        <v>45000</v>
      </c>
      <c r="F5" s="10"/>
      <c r="G5" s="10"/>
      <c r="H5" s="11"/>
      <c r="I5" s="10"/>
      <c r="J5" s="10" t="str">
        <f aca="false">IF(AND(ISNUMBER(H5),ISNUMBER(I5)),I5/H5,"")</f>
        <v/>
      </c>
      <c r="K5" s="12"/>
      <c r="L5" s="13"/>
      <c r="M5" s="14" t="s">
        <v>20</v>
      </c>
      <c r="N5" s="15" t="s">
        <v>21</v>
      </c>
      <c r="O5" s="16" t="s">
        <v>22</v>
      </c>
      <c r="Q5" s="3" t="s">
        <v>23</v>
      </c>
      <c r="R5" s="17" t="n">
        <f aca="false">COUNTA(C5:C37)</f>
        <v>33</v>
      </c>
    </row>
    <row r="6" customFormat="false" ht="30" hidden="false" customHeight="true" outlineLevel="0" collapsed="false">
      <c r="A6" s="18" t="n">
        <v>2</v>
      </c>
      <c r="B6" s="6" t="s">
        <v>18</v>
      </c>
      <c r="C6" s="19" t="s">
        <v>24</v>
      </c>
      <c r="D6" s="8" t="s">
        <v>20</v>
      </c>
      <c r="E6" s="20" t="n">
        <v>40000</v>
      </c>
      <c r="F6" s="21"/>
      <c r="G6" s="21"/>
      <c r="H6" s="22"/>
      <c r="I6" s="21"/>
      <c r="J6" s="21" t="str">
        <f aca="false">IF(AND(ISNUMBER(H6),ISNUMBER(I6)),I6/H6,"")</f>
        <v/>
      </c>
      <c r="K6" s="23"/>
      <c r="L6" s="24"/>
      <c r="M6" s="25" t="s">
        <v>20</v>
      </c>
      <c r="N6" s="26"/>
      <c r="O6" s="27" t="s">
        <v>25</v>
      </c>
      <c r="Q6" s="3" t="s">
        <v>26</v>
      </c>
      <c r="R6" s="28" t="n">
        <f aca="false">AVERAGE(E5:E37)</f>
        <v>43742.4242424242</v>
      </c>
    </row>
    <row r="7" customFormat="false" ht="30" hidden="false" customHeight="true" outlineLevel="0" collapsed="false">
      <c r="A7" s="5" t="n">
        <v>3</v>
      </c>
      <c r="B7" s="6" t="s">
        <v>18</v>
      </c>
      <c r="C7" s="7" t="s">
        <v>27</v>
      </c>
      <c r="D7" s="8" t="s">
        <v>20</v>
      </c>
      <c r="E7" s="9" t="n">
        <v>33000</v>
      </c>
      <c r="F7" s="10"/>
      <c r="G7" s="10"/>
      <c r="H7" s="11"/>
      <c r="I7" s="10"/>
      <c r="J7" s="10" t="str">
        <f aca="false">IF(AND(ISNUMBER(H7),ISNUMBER(I7)),I7/H7,"")</f>
        <v/>
      </c>
      <c r="K7" s="12"/>
      <c r="L7" s="13"/>
      <c r="M7" s="14" t="s">
        <v>20</v>
      </c>
      <c r="N7" s="15"/>
      <c r="O7" s="16" t="s">
        <v>28</v>
      </c>
      <c r="Q7" s="3" t="s">
        <v>29</v>
      </c>
      <c r="R7" s="28" t="n">
        <f aca="false">MIN(E5:E37)</f>
        <v>11500</v>
      </c>
    </row>
    <row r="8" customFormat="false" ht="30" hidden="false" customHeight="true" outlineLevel="0" collapsed="false">
      <c r="A8" s="18" t="n">
        <v>4</v>
      </c>
      <c r="B8" s="6" t="s">
        <v>18</v>
      </c>
      <c r="C8" s="19" t="s">
        <v>30</v>
      </c>
      <c r="D8" s="8" t="s">
        <v>20</v>
      </c>
      <c r="E8" s="20" t="n">
        <v>34000</v>
      </c>
      <c r="F8" s="21"/>
      <c r="G8" s="21"/>
      <c r="H8" s="22"/>
      <c r="I8" s="21"/>
      <c r="J8" s="21" t="str">
        <f aca="false">IF(AND(ISNUMBER(H8),ISNUMBER(I8)),I8/H8,"")</f>
        <v/>
      </c>
      <c r="K8" s="23"/>
      <c r="L8" s="24"/>
      <c r="M8" s="25" t="s">
        <v>20</v>
      </c>
      <c r="N8" s="26" t="s">
        <v>31</v>
      </c>
      <c r="O8" s="27" t="s">
        <v>32</v>
      </c>
      <c r="Q8" s="3" t="s">
        <v>33</v>
      </c>
      <c r="R8" s="28" t="n">
        <f aca="false">MAX(E5:E37)</f>
        <v>101000</v>
      </c>
    </row>
    <row r="9" customFormat="false" ht="30" hidden="false" customHeight="true" outlineLevel="0" collapsed="false">
      <c r="A9" s="5" t="n">
        <v>5</v>
      </c>
      <c r="B9" s="6" t="s">
        <v>18</v>
      </c>
      <c r="C9" s="7" t="s">
        <v>34</v>
      </c>
      <c r="D9" s="8" t="s">
        <v>20</v>
      </c>
      <c r="E9" s="9" t="n">
        <v>101000</v>
      </c>
      <c r="F9" s="10"/>
      <c r="G9" s="10"/>
      <c r="H9" s="11"/>
      <c r="I9" s="10"/>
      <c r="J9" s="10" t="str">
        <f aca="false">IF(AND(ISNUMBER(H9),ISNUMBER(I9)),I9/H9,"")</f>
        <v/>
      </c>
      <c r="K9" s="12"/>
      <c r="L9" s="13"/>
      <c r="M9" s="14" t="s">
        <v>20</v>
      </c>
      <c r="N9" s="15"/>
      <c r="O9" s="16" t="s">
        <v>35</v>
      </c>
      <c r="Q9" s="3" t="s">
        <v>36</v>
      </c>
      <c r="R9" s="17" t="n">
        <f aca="false">COUNTIF(D5:D37,"IQ*")</f>
        <v>2</v>
      </c>
    </row>
    <row r="10" customFormat="false" ht="30" hidden="false" customHeight="true" outlineLevel="0" collapsed="false">
      <c r="A10" s="18" t="n">
        <v>6</v>
      </c>
      <c r="B10" s="6" t="s">
        <v>18</v>
      </c>
      <c r="C10" s="19" t="s">
        <v>37</v>
      </c>
      <c r="D10" s="8" t="s">
        <v>20</v>
      </c>
      <c r="E10" s="20" t="n">
        <v>43000</v>
      </c>
      <c r="F10" s="21"/>
      <c r="G10" s="21"/>
      <c r="H10" s="22"/>
      <c r="I10" s="21"/>
      <c r="J10" s="21" t="str">
        <f aca="false">IF(AND(ISNUMBER(H10),ISNUMBER(I10)),I10/H10,"")</f>
        <v/>
      </c>
      <c r="K10" s="23"/>
      <c r="L10" s="24"/>
      <c r="M10" s="25" t="s">
        <v>20</v>
      </c>
      <c r="N10" s="26" t="s">
        <v>38</v>
      </c>
      <c r="O10" s="27" t="s">
        <v>39</v>
      </c>
    </row>
    <row r="11" customFormat="false" ht="30" hidden="false" customHeight="true" outlineLevel="0" collapsed="false">
      <c r="A11" s="5" t="n">
        <v>7</v>
      </c>
      <c r="B11" s="6" t="s">
        <v>18</v>
      </c>
      <c r="C11" s="7" t="s">
        <v>40</v>
      </c>
      <c r="D11" s="8" t="s">
        <v>20</v>
      </c>
      <c r="E11" s="9" t="n">
        <v>45500</v>
      </c>
      <c r="F11" s="10"/>
      <c r="G11" s="10"/>
      <c r="H11" s="11"/>
      <c r="I11" s="10"/>
      <c r="J11" s="10" t="str">
        <f aca="false">IF(AND(ISNUMBER(H11),ISNUMBER(I11)),I11/H11,"")</f>
        <v/>
      </c>
      <c r="K11" s="12"/>
      <c r="L11" s="13"/>
      <c r="M11" s="14" t="s">
        <v>20</v>
      </c>
      <c r="N11" s="15" t="s">
        <v>41</v>
      </c>
      <c r="O11" s="16" t="s">
        <v>42</v>
      </c>
    </row>
    <row r="12" customFormat="false" ht="30" hidden="false" customHeight="true" outlineLevel="0" collapsed="false">
      <c r="A12" s="18" t="n">
        <v>8</v>
      </c>
      <c r="B12" s="29" t="s">
        <v>43</v>
      </c>
      <c r="C12" s="19" t="s">
        <v>44</v>
      </c>
      <c r="D12" s="8" t="s">
        <v>20</v>
      </c>
      <c r="E12" s="20" t="n">
        <v>60000</v>
      </c>
      <c r="F12" s="21"/>
      <c r="G12" s="21"/>
      <c r="H12" s="22"/>
      <c r="I12" s="21"/>
      <c r="J12" s="21" t="str">
        <f aca="false">IF(AND(ISNUMBER(H12),ISNUMBER(I12)),I12/H12,"")</f>
        <v/>
      </c>
      <c r="K12" s="23"/>
      <c r="L12" s="24"/>
      <c r="M12" s="25" t="s">
        <v>20</v>
      </c>
      <c r="N12" s="26"/>
      <c r="O12" s="27" t="s">
        <v>25</v>
      </c>
    </row>
    <row r="13" customFormat="false" ht="30" hidden="false" customHeight="true" outlineLevel="0" collapsed="false">
      <c r="A13" s="5" t="n">
        <v>9</v>
      </c>
      <c r="B13" s="29" t="s">
        <v>43</v>
      </c>
      <c r="C13" s="7" t="s">
        <v>45</v>
      </c>
      <c r="D13" s="8" t="s">
        <v>20</v>
      </c>
      <c r="E13" s="9" t="n">
        <v>21000</v>
      </c>
      <c r="F13" s="10"/>
      <c r="G13" s="10"/>
      <c r="H13" s="30" t="n">
        <v>4</v>
      </c>
      <c r="I13" s="31" t="n">
        <v>55000</v>
      </c>
      <c r="J13" s="31" t="n">
        <f aca="false">IF(AND(ISNUMBER(H13),ISNUMBER(I13)),I13/H13,"")</f>
        <v>13750</v>
      </c>
      <c r="K13" s="32" t="n">
        <v>0.35</v>
      </c>
      <c r="L13" s="13"/>
      <c r="M13" s="14" t="s">
        <v>20</v>
      </c>
      <c r="N13" s="15"/>
      <c r="O13" s="16" t="s">
        <v>46</v>
      </c>
    </row>
    <row r="14" customFormat="false" ht="30" hidden="false" customHeight="true" outlineLevel="0" collapsed="false">
      <c r="A14" s="18" t="n">
        <v>10</v>
      </c>
      <c r="B14" s="29" t="s">
        <v>43</v>
      </c>
      <c r="C14" s="19" t="s">
        <v>47</v>
      </c>
      <c r="D14" s="8" t="s">
        <v>20</v>
      </c>
      <c r="E14" s="20" t="n">
        <v>29000</v>
      </c>
      <c r="F14" s="21"/>
      <c r="G14" s="21"/>
      <c r="H14" s="33" t="n">
        <v>3</v>
      </c>
      <c r="I14" s="34" t="n">
        <v>68000</v>
      </c>
      <c r="J14" s="34" t="n">
        <f aca="false">IF(AND(ISNUMBER(H14),ISNUMBER(I14)),I14/H14,"")</f>
        <v>22666.6666666667</v>
      </c>
      <c r="K14" s="35" t="n">
        <v>0.22</v>
      </c>
      <c r="L14" s="24"/>
      <c r="M14" s="25" t="s">
        <v>20</v>
      </c>
      <c r="N14" s="26" t="s">
        <v>48</v>
      </c>
      <c r="O14" s="27" t="s">
        <v>28</v>
      </c>
    </row>
    <row r="15" customFormat="false" ht="30" hidden="false" customHeight="true" outlineLevel="0" collapsed="false">
      <c r="A15" s="5" t="n">
        <v>11</v>
      </c>
      <c r="B15" s="29" t="s">
        <v>43</v>
      </c>
      <c r="C15" s="7" t="s">
        <v>49</v>
      </c>
      <c r="D15" s="8" t="s">
        <v>20</v>
      </c>
      <c r="E15" s="9" t="n">
        <v>26500</v>
      </c>
      <c r="F15" s="10"/>
      <c r="G15" s="10"/>
      <c r="H15" s="30" t="n">
        <v>2</v>
      </c>
      <c r="I15" s="31" t="n">
        <v>41000</v>
      </c>
      <c r="J15" s="31" t="n">
        <f aca="false">IF(AND(ISNUMBER(H15),ISNUMBER(I15)),I15/H15,"")</f>
        <v>20500</v>
      </c>
      <c r="K15" s="32" t="n">
        <v>0.23</v>
      </c>
      <c r="L15" s="13"/>
      <c r="M15" s="14" t="s">
        <v>20</v>
      </c>
      <c r="N15" s="15"/>
      <c r="O15" s="16" t="s">
        <v>50</v>
      </c>
    </row>
    <row r="16" customFormat="false" ht="30" hidden="false" customHeight="true" outlineLevel="0" collapsed="false">
      <c r="A16" s="18" t="n">
        <v>12</v>
      </c>
      <c r="B16" s="29" t="s">
        <v>43</v>
      </c>
      <c r="C16" s="19" t="s">
        <v>51</v>
      </c>
      <c r="D16" s="36" t="s">
        <v>52</v>
      </c>
      <c r="E16" s="20" t="n">
        <v>88500</v>
      </c>
      <c r="F16" s="37" t="n">
        <v>90500</v>
      </c>
      <c r="G16" s="37" t="n">
        <v>2000</v>
      </c>
      <c r="H16" s="33" t="n">
        <v>2</v>
      </c>
      <c r="I16" s="34"/>
      <c r="J16" s="34" t="str">
        <f aca="false">IF(AND(ISNUMBER(H16),ISNUMBER(I16)),I16/H16,"")</f>
        <v/>
      </c>
      <c r="K16" s="35" t="n">
        <v>0.11</v>
      </c>
      <c r="L16" s="24"/>
      <c r="M16" s="38" t="s">
        <v>53</v>
      </c>
      <c r="N16" s="26" t="s">
        <v>54</v>
      </c>
      <c r="O16" s="27" t="s">
        <v>55</v>
      </c>
    </row>
    <row r="17" customFormat="false" ht="30" hidden="false" customHeight="true" outlineLevel="0" collapsed="false">
      <c r="A17" s="5" t="n">
        <v>13</v>
      </c>
      <c r="B17" s="39" t="s">
        <v>56</v>
      </c>
      <c r="C17" s="7" t="s">
        <v>57</v>
      </c>
      <c r="D17" s="8" t="s">
        <v>20</v>
      </c>
      <c r="E17" s="9" t="n">
        <v>25500</v>
      </c>
      <c r="F17" s="10"/>
      <c r="G17" s="10"/>
      <c r="H17" s="11"/>
      <c r="I17" s="10"/>
      <c r="J17" s="10" t="str">
        <f aca="false">IF(AND(ISNUMBER(H17),ISNUMBER(I17)),I17/H17,"")</f>
        <v/>
      </c>
      <c r="K17" s="12"/>
      <c r="L17" s="13"/>
      <c r="M17" s="14" t="s">
        <v>20</v>
      </c>
      <c r="N17" s="15"/>
      <c r="O17" s="16" t="s">
        <v>58</v>
      </c>
    </row>
    <row r="18" customFormat="false" ht="30" hidden="false" customHeight="true" outlineLevel="0" collapsed="false">
      <c r="A18" s="18" t="n">
        <v>14</v>
      </c>
      <c r="B18" s="39" t="s">
        <v>56</v>
      </c>
      <c r="C18" s="19" t="s">
        <v>59</v>
      </c>
      <c r="D18" s="8" t="s">
        <v>20</v>
      </c>
      <c r="E18" s="20" t="n">
        <v>25000</v>
      </c>
      <c r="F18" s="21"/>
      <c r="G18" s="21"/>
      <c r="H18" s="22"/>
      <c r="I18" s="21"/>
      <c r="J18" s="21" t="str">
        <f aca="false">IF(AND(ISNUMBER(H18),ISNUMBER(I18)),I18/H18,"")</f>
        <v/>
      </c>
      <c r="K18" s="23"/>
      <c r="L18" s="24"/>
      <c r="M18" s="25" t="s">
        <v>20</v>
      </c>
      <c r="N18" s="26"/>
      <c r="O18" s="27" t="s">
        <v>60</v>
      </c>
    </row>
    <row r="19" customFormat="false" ht="30" hidden="false" customHeight="true" outlineLevel="0" collapsed="false">
      <c r="A19" s="5" t="n">
        <v>15</v>
      </c>
      <c r="B19" s="40" t="s">
        <v>61</v>
      </c>
      <c r="C19" s="7" t="s">
        <v>62</v>
      </c>
      <c r="D19" s="8" t="s">
        <v>20</v>
      </c>
      <c r="E19" s="9" t="n">
        <v>46000</v>
      </c>
      <c r="F19" s="10"/>
      <c r="G19" s="10"/>
      <c r="H19" s="11"/>
      <c r="I19" s="10"/>
      <c r="J19" s="10" t="str">
        <f aca="false">IF(AND(ISNUMBER(H19),ISNUMBER(I19)),I19/H19,"")</f>
        <v/>
      </c>
      <c r="K19" s="12"/>
      <c r="L19" s="13"/>
      <c r="M19" s="14" t="s">
        <v>20</v>
      </c>
      <c r="N19" s="15"/>
      <c r="O19" s="16" t="s">
        <v>63</v>
      </c>
    </row>
    <row r="20" customFormat="false" ht="30" hidden="false" customHeight="true" outlineLevel="0" collapsed="false">
      <c r="A20" s="18" t="n">
        <v>16</v>
      </c>
      <c r="B20" s="40" t="s">
        <v>61</v>
      </c>
      <c r="C20" s="19" t="s">
        <v>64</v>
      </c>
      <c r="D20" s="8" t="s">
        <v>20</v>
      </c>
      <c r="E20" s="20" t="n">
        <v>52000</v>
      </c>
      <c r="F20" s="21"/>
      <c r="G20" s="21"/>
      <c r="H20" s="22"/>
      <c r="I20" s="21"/>
      <c r="J20" s="21" t="str">
        <f aca="false">IF(AND(ISNUMBER(H20),ISNUMBER(I20)),I20/H20,"")</f>
        <v/>
      </c>
      <c r="K20" s="23"/>
      <c r="L20" s="24"/>
      <c r="M20" s="25" t="s">
        <v>20</v>
      </c>
      <c r="N20" s="26"/>
      <c r="O20" s="27" t="s">
        <v>65</v>
      </c>
    </row>
    <row r="21" customFormat="false" ht="30" hidden="false" customHeight="true" outlineLevel="0" collapsed="false">
      <c r="A21" s="5" t="n">
        <v>17</v>
      </c>
      <c r="B21" s="40" t="s">
        <v>61</v>
      </c>
      <c r="C21" s="7" t="s">
        <v>66</v>
      </c>
      <c r="D21" s="8" t="s">
        <v>20</v>
      </c>
      <c r="E21" s="9" t="n">
        <v>17000</v>
      </c>
      <c r="F21" s="10"/>
      <c r="G21" s="10"/>
      <c r="H21" s="30" t="n">
        <v>2</v>
      </c>
      <c r="I21" s="31" t="n">
        <v>32000</v>
      </c>
      <c r="J21" s="31" t="n">
        <f aca="false">IF(AND(ISNUMBER(H21),ISNUMBER(I21)),I21/H21,"")</f>
        <v>16000</v>
      </c>
      <c r="K21" s="32" t="n">
        <v>0.06</v>
      </c>
      <c r="L21" s="13"/>
      <c r="M21" s="14" t="s">
        <v>20</v>
      </c>
      <c r="N21" s="15"/>
      <c r="O21" s="16" t="s">
        <v>67</v>
      </c>
    </row>
    <row r="22" customFormat="false" ht="30" hidden="false" customHeight="true" outlineLevel="0" collapsed="false">
      <c r="A22" s="18" t="n">
        <v>18</v>
      </c>
      <c r="B22" s="40" t="s">
        <v>61</v>
      </c>
      <c r="C22" s="19" t="s">
        <v>68</v>
      </c>
      <c r="D22" s="8" t="s">
        <v>20</v>
      </c>
      <c r="E22" s="20" t="n">
        <v>28500</v>
      </c>
      <c r="F22" s="21"/>
      <c r="G22" s="21"/>
      <c r="H22" s="22"/>
      <c r="I22" s="21"/>
      <c r="J22" s="21" t="str">
        <f aca="false">IF(AND(ISNUMBER(H22),ISNUMBER(I22)),I22/H22,"")</f>
        <v/>
      </c>
      <c r="K22" s="23"/>
      <c r="L22" s="24"/>
      <c r="M22" s="25" t="s">
        <v>20</v>
      </c>
      <c r="N22" s="26"/>
      <c r="O22" s="27" t="s">
        <v>67</v>
      </c>
    </row>
    <row r="23" customFormat="false" ht="30" hidden="false" customHeight="true" outlineLevel="0" collapsed="false">
      <c r="A23" s="5" t="n">
        <v>19</v>
      </c>
      <c r="B23" s="40" t="s">
        <v>61</v>
      </c>
      <c r="C23" s="7" t="s">
        <v>69</v>
      </c>
      <c r="D23" s="8" t="s">
        <v>20</v>
      </c>
      <c r="E23" s="9" t="n">
        <v>34000</v>
      </c>
      <c r="F23" s="10"/>
      <c r="G23" s="10"/>
      <c r="H23" s="30" t="n">
        <v>4</v>
      </c>
      <c r="I23" s="31" t="n">
        <v>94000</v>
      </c>
      <c r="J23" s="31" t="n">
        <f aca="false">IF(AND(ISNUMBER(H23),ISNUMBER(I23)),I23/H23,"")</f>
        <v>23500</v>
      </c>
      <c r="K23" s="32" t="n">
        <v>0.31</v>
      </c>
      <c r="L23" s="13"/>
      <c r="M23" s="14" t="s">
        <v>20</v>
      </c>
      <c r="N23" s="15"/>
      <c r="O23" s="16" t="s">
        <v>70</v>
      </c>
    </row>
    <row r="24" customFormat="false" ht="30" hidden="false" customHeight="true" outlineLevel="0" collapsed="false">
      <c r="A24" s="18" t="n">
        <v>20</v>
      </c>
      <c r="B24" s="36" t="s">
        <v>71</v>
      </c>
      <c r="C24" s="19" t="s">
        <v>72</v>
      </c>
      <c r="D24" s="8" t="s">
        <v>20</v>
      </c>
      <c r="E24" s="20" t="n">
        <v>72000</v>
      </c>
      <c r="F24" s="21"/>
      <c r="G24" s="21"/>
      <c r="H24" s="33" t="n">
        <v>2</v>
      </c>
      <c r="I24" s="34" t="n">
        <v>138000</v>
      </c>
      <c r="J24" s="34" t="n">
        <f aca="false">IF(AND(ISNUMBER(H24),ISNUMBER(I24)),I24/H24,"")</f>
        <v>69000</v>
      </c>
      <c r="K24" s="35" t="n">
        <v>0.04</v>
      </c>
      <c r="L24" s="24"/>
      <c r="M24" s="25" t="s">
        <v>20</v>
      </c>
      <c r="N24" s="26"/>
      <c r="O24" s="27" t="s">
        <v>73</v>
      </c>
    </row>
    <row r="25" customFormat="false" ht="30" hidden="false" customHeight="true" outlineLevel="0" collapsed="false">
      <c r="A25" s="5" t="n">
        <v>21</v>
      </c>
      <c r="B25" s="36" t="s">
        <v>71</v>
      </c>
      <c r="C25" s="7" t="s">
        <v>74</v>
      </c>
      <c r="D25" s="8" t="s">
        <v>20</v>
      </c>
      <c r="E25" s="9" t="n">
        <v>62500</v>
      </c>
      <c r="F25" s="10"/>
      <c r="G25" s="10"/>
      <c r="H25" s="11"/>
      <c r="I25" s="10"/>
      <c r="J25" s="10" t="str">
        <f aca="false">IF(AND(ISNUMBER(H25),ISNUMBER(I25)),I25/H25,"")</f>
        <v/>
      </c>
      <c r="K25" s="12"/>
      <c r="L25" s="13"/>
      <c r="M25" s="14" t="s">
        <v>20</v>
      </c>
      <c r="N25" s="15"/>
      <c r="O25" s="16" t="s">
        <v>75</v>
      </c>
    </row>
    <row r="26" customFormat="false" ht="30" hidden="false" customHeight="true" outlineLevel="0" collapsed="false">
      <c r="A26" s="18" t="n">
        <v>22</v>
      </c>
      <c r="B26" s="36" t="s">
        <v>71</v>
      </c>
      <c r="C26" s="19" t="s">
        <v>76</v>
      </c>
      <c r="D26" s="8" t="s">
        <v>20</v>
      </c>
      <c r="E26" s="20" t="n">
        <v>41000</v>
      </c>
      <c r="F26" s="21"/>
      <c r="G26" s="21"/>
      <c r="H26" s="22"/>
      <c r="I26" s="21"/>
      <c r="J26" s="21" t="str">
        <f aca="false">IF(AND(ISNUMBER(H26),ISNUMBER(I26)),I26/H26,"")</f>
        <v/>
      </c>
      <c r="K26" s="23"/>
      <c r="L26" s="24"/>
      <c r="M26" s="25" t="s">
        <v>20</v>
      </c>
      <c r="N26" s="26" t="s">
        <v>77</v>
      </c>
      <c r="O26" s="27" t="s">
        <v>78</v>
      </c>
    </row>
    <row r="27" customFormat="false" ht="30" hidden="false" customHeight="true" outlineLevel="0" collapsed="false">
      <c r="A27" s="5" t="n">
        <v>23</v>
      </c>
      <c r="B27" s="36" t="s">
        <v>71</v>
      </c>
      <c r="C27" s="7" t="s">
        <v>79</v>
      </c>
      <c r="D27" s="8" t="s">
        <v>20</v>
      </c>
      <c r="E27" s="9" t="n">
        <v>50500</v>
      </c>
      <c r="F27" s="10"/>
      <c r="G27" s="10"/>
      <c r="H27" s="11"/>
      <c r="I27" s="10"/>
      <c r="J27" s="10" t="str">
        <f aca="false">IF(AND(ISNUMBER(H27),ISNUMBER(I27)),I27/H27,"")</f>
        <v/>
      </c>
      <c r="K27" s="12"/>
      <c r="L27" s="13"/>
      <c r="M27" s="14" t="s">
        <v>20</v>
      </c>
      <c r="N27" s="15"/>
      <c r="O27" s="16" t="s">
        <v>78</v>
      </c>
    </row>
    <row r="28" customFormat="false" ht="30" hidden="false" customHeight="true" outlineLevel="0" collapsed="false">
      <c r="A28" s="18" t="n">
        <v>24</v>
      </c>
      <c r="B28" s="36" t="s">
        <v>71</v>
      </c>
      <c r="C28" s="19" t="s">
        <v>80</v>
      </c>
      <c r="D28" s="8" t="s">
        <v>20</v>
      </c>
      <c r="E28" s="20" t="n">
        <v>81000</v>
      </c>
      <c r="F28" s="21"/>
      <c r="G28" s="21"/>
      <c r="H28" s="33" t="n">
        <v>2</v>
      </c>
      <c r="I28" s="34" t="n">
        <v>151000</v>
      </c>
      <c r="J28" s="34" t="n">
        <f aca="false">IF(AND(ISNUMBER(H28),ISNUMBER(I28)),I28/H28,"")</f>
        <v>75500</v>
      </c>
      <c r="K28" s="35" t="n">
        <v>0.07</v>
      </c>
      <c r="L28" s="24"/>
      <c r="M28" s="25" t="s">
        <v>20</v>
      </c>
      <c r="N28" s="26" t="s">
        <v>81</v>
      </c>
      <c r="O28" s="27" t="s">
        <v>82</v>
      </c>
    </row>
    <row r="29" customFormat="false" ht="30" hidden="false" customHeight="true" outlineLevel="0" collapsed="false">
      <c r="A29" s="5" t="n">
        <v>25</v>
      </c>
      <c r="B29" s="41" t="s">
        <v>83</v>
      </c>
      <c r="C29" s="7" t="s">
        <v>84</v>
      </c>
      <c r="D29" s="8" t="s">
        <v>20</v>
      </c>
      <c r="E29" s="9" t="n">
        <v>33000</v>
      </c>
      <c r="F29" s="10"/>
      <c r="G29" s="10"/>
      <c r="H29" s="11"/>
      <c r="I29" s="10"/>
      <c r="J29" s="10" t="str">
        <f aca="false">IF(AND(ISNUMBER(H29),ISNUMBER(I29)),I29/H29,"")</f>
        <v/>
      </c>
      <c r="K29" s="12"/>
      <c r="L29" s="13"/>
      <c r="M29" s="14" t="s">
        <v>20</v>
      </c>
      <c r="N29" s="15" t="s">
        <v>85</v>
      </c>
      <c r="O29" s="16" t="s">
        <v>86</v>
      </c>
    </row>
    <row r="30" customFormat="false" ht="30" hidden="false" customHeight="true" outlineLevel="0" collapsed="false">
      <c r="A30" s="18" t="n">
        <v>26</v>
      </c>
      <c r="B30" s="41" t="s">
        <v>83</v>
      </c>
      <c r="C30" s="19" t="s">
        <v>87</v>
      </c>
      <c r="D30" s="8" t="s">
        <v>20</v>
      </c>
      <c r="E30" s="20" t="n">
        <v>87000</v>
      </c>
      <c r="F30" s="21"/>
      <c r="G30" s="21"/>
      <c r="H30" s="22"/>
      <c r="I30" s="21"/>
      <c r="J30" s="21" t="str">
        <f aca="false">IF(AND(ISNUMBER(H30),ISNUMBER(I30)),I30/H30,"")</f>
        <v/>
      </c>
      <c r="K30" s="23"/>
      <c r="L30" s="24"/>
      <c r="M30" s="25" t="s">
        <v>20</v>
      </c>
      <c r="N30" s="26"/>
      <c r="O30" s="27" t="s">
        <v>88</v>
      </c>
    </row>
    <row r="31" customFormat="false" ht="30" hidden="false" customHeight="true" outlineLevel="0" collapsed="false">
      <c r="A31" s="5" t="n">
        <v>27</v>
      </c>
      <c r="B31" s="42" t="s">
        <v>89</v>
      </c>
      <c r="C31" s="7" t="s">
        <v>90</v>
      </c>
      <c r="D31" s="8" t="s">
        <v>20</v>
      </c>
      <c r="E31" s="9" t="n">
        <v>90000</v>
      </c>
      <c r="F31" s="10"/>
      <c r="G31" s="10"/>
      <c r="H31" s="11"/>
      <c r="I31" s="10"/>
      <c r="J31" s="10" t="str">
        <f aca="false">IF(AND(ISNUMBER(H31),ISNUMBER(I31)),I31/H31,"")</f>
        <v/>
      </c>
      <c r="K31" s="12"/>
      <c r="L31" s="13"/>
      <c r="M31" s="14" t="s">
        <v>20</v>
      </c>
      <c r="N31" s="15"/>
      <c r="O31" s="16" t="s">
        <v>91</v>
      </c>
    </row>
    <row r="32" customFormat="false" ht="30" hidden="false" customHeight="true" outlineLevel="0" collapsed="false">
      <c r="A32" s="18" t="n">
        <v>28</v>
      </c>
      <c r="B32" s="42" t="s">
        <v>89</v>
      </c>
      <c r="C32" s="19" t="s">
        <v>92</v>
      </c>
      <c r="D32" s="8" t="s">
        <v>20</v>
      </c>
      <c r="E32" s="20" t="n">
        <v>59000</v>
      </c>
      <c r="F32" s="21"/>
      <c r="G32" s="21"/>
      <c r="H32" s="22"/>
      <c r="I32" s="21"/>
      <c r="J32" s="21" t="str">
        <f aca="false">IF(AND(ISNUMBER(H32),ISNUMBER(I32)),I32/H32,"")</f>
        <v/>
      </c>
      <c r="K32" s="23"/>
      <c r="L32" s="24"/>
      <c r="M32" s="25" t="s">
        <v>20</v>
      </c>
      <c r="N32" s="26"/>
      <c r="O32" s="27" t="s">
        <v>93</v>
      </c>
    </row>
    <row r="33" customFormat="false" ht="30" hidden="false" customHeight="true" outlineLevel="0" collapsed="false">
      <c r="A33" s="5" t="n">
        <v>29</v>
      </c>
      <c r="B33" s="43" t="s">
        <v>94</v>
      </c>
      <c r="C33" s="7" t="s">
        <v>95</v>
      </c>
      <c r="D33" s="8" t="s">
        <v>20</v>
      </c>
      <c r="E33" s="9" t="n">
        <v>14000</v>
      </c>
      <c r="F33" s="10"/>
      <c r="G33" s="10"/>
      <c r="H33" s="30" t="n">
        <v>2</v>
      </c>
      <c r="I33" s="31" t="n">
        <v>18000</v>
      </c>
      <c r="J33" s="31" t="n">
        <f aca="false">IF(AND(ISNUMBER(H33),ISNUMBER(I33)),I33/H33,"")</f>
        <v>9000</v>
      </c>
      <c r="K33" s="32" t="n">
        <v>0.36</v>
      </c>
      <c r="L33" s="13"/>
      <c r="M33" s="14" t="s">
        <v>20</v>
      </c>
      <c r="N33" s="15"/>
      <c r="O33" s="16" t="s">
        <v>96</v>
      </c>
    </row>
    <row r="34" customFormat="false" ht="30" hidden="false" customHeight="true" outlineLevel="0" collapsed="false">
      <c r="A34" s="18" t="n">
        <v>30</v>
      </c>
      <c r="B34" s="43" t="s">
        <v>94</v>
      </c>
      <c r="C34" s="19" t="s">
        <v>97</v>
      </c>
      <c r="D34" s="36" t="s">
        <v>98</v>
      </c>
      <c r="E34" s="20" t="n">
        <v>11500</v>
      </c>
      <c r="F34" s="37" t="n">
        <v>13500</v>
      </c>
      <c r="G34" s="37" t="n">
        <v>2000</v>
      </c>
      <c r="H34" s="33" t="n">
        <v>2</v>
      </c>
      <c r="I34" s="34"/>
      <c r="J34" s="34" t="str">
        <f aca="false">IF(AND(ISNUMBER(H34),ISNUMBER(I34)),I34/H34,"")</f>
        <v/>
      </c>
      <c r="K34" s="35" t="n">
        <v>0.43</v>
      </c>
      <c r="L34" s="44" t="n">
        <v>0.59</v>
      </c>
      <c r="M34" s="36" t="s">
        <v>99</v>
      </c>
      <c r="N34" s="26" t="s">
        <v>100</v>
      </c>
      <c r="O34" s="27" t="s">
        <v>101</v>
      </c>
    </row>
    <row r="35" customFormat="false" ht="30" hidden="false" customHeight="true" outlineLevel="0" collapsed="false">
      <c r="A35" s="5" t="n">
        <v>31</v>
      </c>
      <c r="B35" s="43" t="s">
        <v>94</v>
      </c>
      <c r="C35" s="7" t="s">
        <v>102</v>
      </c>
      <c r="D35" s="8" t="s">
        <v>20</v>
      </c>
      <c r="E35" s="9" t="n">
        <v>15500</v>
      </c>
      <c r="F35" s="10"/>
      <c r="G35" s="10"/>
      <c r="H35" s="30" t="n">
        <v>5</v>
      </c>
      <c r="I35" s="31" t="n">
        <v>32000</v>
      </c>
      <c r="J35" s="31" t="n">
        <f aca="false">IF(AND(ISNUMBER(H35),ISNUMBER(I35)),I35/H35,"")</f>
        <v>6400</v>
      </c>
      <c r="K35" s="32" t="n">
        <v>0.59</v>
      </c>
      <c r="L35" s="13"/>
      <c r="M35" s="14" t="s">
        <v>20</v>
      </c>
      <c r="N35" s="15"/>
      <c r="O35" s="16" t="s">
        <v>103</v>
      </c>
    </row>
    <row r="36" customFormat="false" ht="30" hidden="false" customHeight="true" outlineLevel="0" collapsed="false">
      <c r="A36" s="18" t="n">
        <v>32</v>
      </c>
      <c r="B36" s="45" t="s">
        <v>104</v>
      </c>
      <c r="C36" s="19" t="s">
        <v>105</v>
      </c>
      <c r="D36" s="8" t="s">
        <v>20</v>
      </c>
      <c r="E36" s="20" t="n">
        <v>16000</v>
      </c>
      <c r="F36" s="21"/>
      <c r="G36" s="21"/>
      <c r="H36" s="33" t="n">
        <v>2</v>
      </c>
      <c r="I36" s="34" t="n">
        <v>28000</v>
      </c>
      <c r="J36" s="34" t="n">
        <f aca="false">IF(AND(ISNUMBER(H36),ISNUMBER(I36)),I36/H36,"")</f>
        <v>14000</v>
      </c>
      <c r="K36" s="35" t="n">
        <v>0.12</v>
      </c>
      <c r="L36" s="24"/>
      <c r="M36" s="25" t="s">
        <v>20</v>
      </c>
      <c r="N36" s="26"/>
      <c r="O36" s="27" t="s">
        <v>106</v>
      </c>
    </row>
    <row r="37" customFormat="false" ht="30" hidden="false" customHeight="true" outlineLevel="0" collapsed="false">
      <c r="A37" s="5" t="n">
        <v>33</v>
      </c>
      <c r="B37" s="45" t="s">
        <v>104</v>
      </c>
      <c r="C37" s="7" t="s">
        <v>107</v>
      </c>
      <c r="D37" s="8" t="s">
        <v>20</v>
      </c>
      <c r="E37" s="9" t="n">
        <v>16000</v>
      </c>
      <c r="F37" s="10"/>
      <c r="G37" s="10"/>
      <c r="H37" s="11"/>
      <c r="I37" s="10"/>
      <c r="J37" s="10" t="str">
        <f aca="false">IF(AND(ISNUMBER(H37),ISNUMBER(I37)),I37/H37,"")</f>
        <v/>
      </c>
      <c r="K37" s="12"/>
      <c r="L37" s="13"/>
      <c r="M37" s="14" t="s">
        <v>20</v>
      </c>
      <c r="N37" s="15" t="s">
        <v>108</v>
      </c>
      <c r="O37" s="16" t="s">
        <v>106</v>
      </c>
    </row>
    <row r="39" customFormat="false" ht="15" hidden="false" customHeight="true" outlineLevel="0" collapsed="false">
      <c r="B39" s="46" t="s">
        <v>109</v>
      </c>
      <c r="C39" s="47" t="s">
        <v>110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</row>
    <row r="40" customFormat="false" ht="15" hidden="false" customHeight="true" outlineLevel="0" collapsed="false">
      <c r="B40" s="48" t="s">
        <v>109</v>
      </c>
      <c r="C40" s="47" t="s">
        <v>111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</row>
    <row r="41" customFormat="false" ht="15" hidden="false" customHeight="true" outlineLevel="0" collapsed="false">
      <c r="B41" s="49" t="s">
        <v>109</v>
      </c>
      <c r="C41" s="47" t="s">
        <v>112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</row>
    <row r="42" customFormat="false" ht="15" hidden="false" customHeight="true" outlineLevel="0" collapsed="false">
      <c r="B42" s="50" t="s">
        <v>109</v>
      </c>
      <c r="C42" s="47" t="s">
        <v>113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</row>
  </sheetData>
  <autoFilter ref="A4:O37"/>
  <mergeCells count="7">
    <mergeCell ref="A1:O1"/>
    <mergeCell ref="A2:O2"/>
    <mergeCell ref="Q4:R4"/>
    <mergeCell ref="C39:N39"/>
    <mergeCell ref="C40:N40"/>
    <mergeCell ref="C41:N41"/>
    <mergeCell ref="C42:N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2026-10-26T11:07:23Z</dcterms:created>
  <dc:creator>openpyxl</dc:creator>
  <dc:description/>
  <dc:language>en-US</dc:language>
  <cp:lastModifiedBy/>
  <dcterms:modified xsi:type="dcterms:W3CDTF">2026-10-26T11:07:23Z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