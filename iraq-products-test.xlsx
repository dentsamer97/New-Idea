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tup\Downloads\"/>
    </mc:Choice>
  </mc:AlternateContent>
  <xr:revisionPtr revIDLastSave="0" documentId="13_ncr:1_{E6B57A0C-16CE-475F-9387-3B41E328544B}" xr6:coauthVersionLast="47" xr6:coauthVersionMax="47" xr10:uidLastSave="{00000000-0000-0000-0000-000000000000}"/>
  <bookViews>
    <workbookView xWindow="-103" yWindow="-103" windowWidth="24892" windowHeight="14914" tabRatio="500" xr2:uid="{00000000-000D-0000-FFFF-FFFF00000000}"/>
  </bookViews>
  <sheets>
    <sheet name="المنتجات" sheetId="1" r:id="rId1"/>
    <sheet name="Sheet1" sheetId="3" r:id="rId2"/>
    <sheet name="ملخص المجموعات" sheetId="2" r:id="rId3"/>
  </sheets>
  <definedNames>
    <definedName name="_xlnm.Print_Titles" localSheetId="0">المنتجات!$4:$4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2" l="1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H16" i="2" s="1"/>
  <c r="G4" i="2"/>
  <c r="G16" i="2" s="1"/>
  <c r="F4" i="2"/>
  <c r="F16" i="2" s="1"/>
  <c r="E4" i="2"/>
  <c r="D4" i="2"/>
  <c r="D16" i="2" s="1"/>
  <c r="C4" i="2"/>
  <c r="C16" i="2" s="1"/>
  <c r="B4" i="2"/>
  <c r="B16" i="2" s="1"/>
  <c r="M74" i="1"/>
  <c r="M73" i="1"/>
  <c r="I15" i="2" s="1"/>
  <c r="A72" i="1"/>
  <c r="M70" i="1"/>
  <c r="M69" i="1"/>
  <c r="M68" i="1"/>
  <c r="M67" i="1"/>
  <c r="I14" i="2" s="1"/>
  <c r="A66" i="1"/>
  <c r="M64" i="1"/>
  <c r="M63" i="1"/>
  <c r="M62" i="1"/>
  <c r="M61" i="1"/>
  <c r="M60" i="1"/>
  <c r="M59" i="1"/>
  <c r="I13" i="2" s="1"/>
  <c r="A58" i="1"/>
  <c r="M56" i="1"/>
  <c r="M55" i="1"/>
  <c r="M54" i="1"/>
  <c r="M53" i="1"/>
  <c r="I12" i="2" s="1"/>
  <c r="A52" i="1"/>
  <c r="M50" i="1"/>
  <c r="M49" i="1"/>
  <c r="I11" i="2" s="1"/>
  <c r="A48" i="1"/>
  <c r="M46" i="1"/>
  <c r="M45" i="1"/>
  <c r="M44" i="1"/>
  <c r="I10" i="2" s="1"/>
  <c r="A43" i="1"/>
  <c r="M41" i="1"/>
  <c r="M40" i="1"/>
  <c r="M39" i="1"/>
  <c r="M38" i="1"/>
  <c r="M37" i="1"/>
  <c r="I9" i="2" s="1"/>
  <c r="A36" i="1"/>
  <c r="M34" i="1"/>
  <c r="M33" i="1"/>
  <c r="I8" i="2" s="1"/>
  <c r="A32" i="1"/>
  <c r="M30" i="1"/>
  <c r="M29" i="1"/>
  <c r="M28" i="1"/>
  <c r="M27" i="1"/>
  <c r="M26" i="1"/>
  <c r="I7" i="2" s="1"/>
  <c r="A25" i="1"/>
  <c r="M23" i="1"/>
  <c r="M22" i="1"/>
  <c r="M21" i="1"/>
  <c r="M20" i="1"/>
  <c r="I6" i="2" s="1"/>
  <c r="A19" i="1"/>
  <c r="M17" i="1"/>
  <c r="M16" i="1"/>
  <c r="I5" i="2" s="1"/>
  <c r="A15" i="1"/>
  <c r="M13" i="1"/>
  <c r="M12" i="1"/>
  <c r="M11" i="1"/>
  <c r="M10" i="1"/>
  <c r="M9" i="1"/>
  <c r="M8" i="1"/>
  <c r="M7" i="1"/>
  <c r="M6" i="1"/>
  <c r="I4" i="2" s="1"/>
  <c r="A5" i="1"/>
  <c r="I1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000-000001000000}">
      <text>
        <r>
          <rPr>
            <sz val="10"/>
            <rFont val="FreeSans"/>
            <family val="2"/>
          </rPr>
          <t xml:space="preserve">أقل ربح = </t>
        </r>
        <r>
          <rPr>
            <sz val="10"/>
            <rFont val="Arial"/>
            <family val="2"/>
          </rPr>
          <t>0: أقل سعر بيع هو نفس سعر المنتج، فلازم تبيع بسعر أعلى عشان تكسب.</t>
        </r>
      </text>
    </comment>
    <comment ref="F11" authorId="0" shapeId="0" xr:uid="{00000000-0006-0000-0000-000002000000}">
      <text>
        <r>
          <rPr>
            <sz val="10"/>
            <rFont val="FreeSans"/>
            <family val="2"/>
          </rPr>
          <t xml:space="preserve">أقل ربح = </t>
        </r>
        <r>
          <rPr>
            <sz val="10"/>
            <rFont val="Arial"/>
            <family val="2"/>
          </rPr>
          <t>0: أقل سعر بيع هو نفس سعر المنتج، فلازم تبيع بسعر أعلى عشان تكسب.</t>
        </r>
      </text>
    </comment>
    <comment ref="F13" authorId="0" shapeId="0" xr:uid="{00000000-0006-0000-0000-000003000000}">
      <text>
        <r>
          <rPr>
            <sz val="10"/>
            <rFont val="FreeSans"/>
            <family val="2"/>
          </rPr>
          <t xml:space="preserve">أقل ربح = </t>
        </r>
        <r>
          <rPr>
            <sz val="10"/>
            <rFont val="Arial"/>
            <family val="2"/>
          </rPr>
          <t>0: أقل سعر بيع هو نفس سعر المنتج، فلازم تبيع بسعر أعلى عشان تكسب.</t>
        </r>
      </text>
    </comment>
    <comment ref="F30" authorId="0" shapeId="0" xr:uid="{00000000-0006-0000-0000-000004000000}">
      <text>
        <r>
          <rPr>
            <sz val="10"/>
            <rFont val="FreeSans"/>
            <family val="2"/>
          </rPr>
          <t xml:space="preserve">أقل ربح = </t>
        </r>
        <r>
          <rPr>
            <sz val="10"/>
            <rFont val="Arial"/>
            <family val="2"/>
          </rPr>
          <t>0: أقل سعر بيع هو نفس سعر المنتج، فلازم تبيع بسعر أعلى عشان تكسب.</t>
        </r>
      </text>
    </comment>
    <comment ref="F37" authorId="0" shapeId="0" xr:uid="{00000000-0006-0000-0000-000005000000}">
      <text>
        <r>
          <rPr>
            <sz val="10"/>
            <rFont val="FreeSans"/>
            <family val="2"/>
          </rPr>
          <t xml:space="preserve">أقل ربح = </t>
        </r>
        <r>
          <rPr>
            <sz val="10"/>
            <rFont val="Arial"/>
            <family val="2"/>
          </rPr>
          <t>0: أقل سعر بيع هو نفس سعر المنتج، فلازم تبيع بسعر أعلى عشان تكسب.</t>
        </r>
      </text>
    </comment>
    <comment ref="F54" authorId="0" shapeId="0" xr:uid="{00000000-0006-0000-0000-000006000000}">
      <text>
        <r>
          <rPr>
            <sz val="10"/>
            <rFont val="FreeSans"/>
            <family val="2"/>
          </rPr>
          <t xml:space="preserve">أقل ربح = </t>
        </r>
        <r>
          <rPr>
            <sz val="10"/>
            <rFont val="Arial"/>
            <family val="2"/>
          </rPr>
          <t>0: أقل سعر بيع هو نفس سعر المنتج، فلازم تبيع بسعر أعلى عشان تكسب.</t>
        </r>
      </text>
    </comment>
    <comment ref="F59" authorId="0" shapeId="0" xr:uid="{00000000-0006-0000-0000-000007000000}">
      <text>
        <r>
          <rPr>
            <sz val="10"/>
            <rFont val="FreeSans"/>
            <family val="2"/>
          </rPr>
          <t xml:space="preserve">أقل ربح = </t>
        </r>
        <r>
          <rPr>
            <sz val="10"/>
            <rFont val="Arial"/>
            <family val="2"/>
          </rPr>
          <t>0: أقل سعر بيع هو نفس سعر المنتج، فلازم تبيع بسعر أعلى عشان تكسب.</t>
        </r>
      </text>
    </comment>
    <comment ref="F70" authorId="0" shapeId="0" xr:uid="{00000000-0006-0000-0000-000008000000}">
      <text>
        <r>
          <rPr>
            <sz val="10"/>
            <rFont val="FreeSans"/>
            <family val="2"/>
          </rPr>
          <t xml:space="preserve">أقل ربح = </t>
        </r>
        <r>
          <rPr>
            <sz val="10"/>
            <rFont val="Arial"/>
            <family val="2"/>
          </rPr>
          <t>0: أقل سعر بيع هو نفس سعر المنتج، فلازم تبيع بسعر أعلى عشان تكسب.</t>
        </r>
      </text>
    </comment>
  </commentList>
</comments>
</file>

<file path=xl/sharedStrings.xml><?xml version="1.0" encoding="utf-8"?>
<sst xmlns="http://schemas.openxmlformats.org/spreadsheetml/2006/main" count="397" uniqueCount="220">
  <si>
    <t>منتجات تيست السوق العراقي  ·  Taager</t>
  </si>
  <si>
    <t>الأسعار بالدينار العراقي كما في صفحات المنتجات · المنتجات المتشابهة مجمّعة تحت بعض ومرتبة من الأرخص للأغلى · سكرين شوت 26-10-2026</t>
  </si>
  <si>
    <t>#</t>
  </si>
  <si>
    <t>اسم المنتج</t>
  </si>
  <si>
    <t>كود المنتج SKU</t>
  </si>
  <si>
    <t>السعر (د.ع)</t>
  </si>
  <si>
    <t>أقل سعر بيع (د.ع)</t>
  </si>
  <si>
    <t>أقل ربح (د.ع)</t>
  </si>
  <si>
    <t>خصم القطعتين</t>
  </si>
  <si>
    <t>خصومات الكمية حتى</t>
  </si>
  <si>
    <t>نسبة التأكيد</t>
  </si>
  <si>
    <t>تقييم التأكيد</t>
  </si>
  <si>
    <t>نسبة التوصيل</t>
  </si>
  <si>
    <t>تقييم التوصيل</t>
  </si>
  <si>
    <t>التسليم المتوقع
(تأكيد × توصيل)</t>
  </si>
  <si>
    <t>ملاحظات</t>
  </si>
  <si>
    <t>السكرين شوت</t>
  </si>
  <si>
    <t>مكنسة تنظيف منزلي Acarid Remover</t>
  </si>
  <si>
    <t>IQ030101ACRI99</t>
  </si>
  <si>
    <t>ممتاز</t>
  </si>
  <si>
    <t>143306</t>
  </si>
  <si>
    <t>المكنسة القابلة لإعادة الشحن الحديثة 3 في 1</t>
  </si>
  <si>
    <t>IQ030303MSSK99</t>
  </si>
  <si>
    <t>—</t>
  </si>
  <si>
    <t>143243</t>
  </si>
  <si>
    <t>المكنسة القابلة لإعادة الشحن 3 في 1 ضمان 6 أشهر</t>
  </si>
  <si>
    <t>IQ030303MKNN99</t>
  </si>
  <si>
    <t>143435</t>
  </si>
  <si>
    <t>مكنسة روبوت Smart Home ضمان 6 أشهر</t>
  </si>
  <si>
    <t>IQ030303ROHM99</t>
  </si>
  <si>
    <t>143410</t>
  </si>
  <si>
    <t>مكنسة كهربائية لاسلكية محمولة 2 في 1 ضمان عام</t>
  </si>
  <si>
    <t>IQ030303MALA99</t>
  </si>
  <si>
    <t>مازالت المنصة تجمع إحصائيات المنتج</t>
  </si>
  <si>
    <t>143558</t>
  </si>
  <si>
    <t>المكنسة الكهربائية الحديثة ضمان 6 أشهر</t>
  </si>
  <si>
    <t>IQ030303ACSS99</t>
  </si>
  <si>
    <t>143607</t>
  </si>
  <si>
    <t>المكنسة الكهربائية اللاسلكية متعددة الاستخدامات GUFY</t>
  </si>
  <si>
    <t>IQ030304GUFY99</t>
  </si>
  <si>
    <t>143537</t>
  </si>
  <si>
    <t>مكنسة تنظيف السجاد و المفروشات جاف ورطب</t>
  </si>
  <si>
    <t>IQ030304TAZT99</t>
  </si>
  <si>
    <t>143511</t>
  </si>
  <si>
    <t>جهاز تنظيف بالبخار بالضغط العالي</t>
  </si>
  <si>
    <t>IQ030401BOHK99</t>
  </si>
  <si>
    <t>جيد</t>
  </si>
  <si>
    <t>143015</t>
  </si>
  <si>
    <t>جهاز تنظيف بالبخار بالضغط العالي شكل دائري</t>
  </si>
  <si>
    <t>IQ030303BOJH99</t>
  </si>
  <si>
    <t>143633</t>
  </si>
  <si>
    <t>خلاط Silver Crest + طاحونة ضمان 6 أشهر</t>
  </si>
  <si>
    <t>IQ030401CILV99</t>
  </si>
  <si>
    <t>143453</t>
  </si>
  <si>
    <t>محضرة الطعام Olympia أكبر حجم 8 لتر</t>
  </si>
  <si>
    <t>IQ030401ALMN99</t>
  </si>
  <si>
    <t>143359</t>
  </si>
  <si>
    <t>محضرة الطعام Olympia 8 لتر + ضمان 6 شهور (عرض مجمّع)</t>
  </si>
  <si>
    <t>IQ030501MNOI99</t>
  </si>
  <si>
    <t>مازالت المنصة تجمع إحصائيات المنتج · عرض مجمّع: IQ030401ALMN99 + IQ030101DFLM99</t>
  </si>
  <si>
    <t>143213</t>
  </si>
  <si>
    <t>محضرة الطعام المتكاملة 10 في 1</t>
  </si>
  <si>
    <t>IQ030401ROPM99</t>
  </si>
  <si>
    <t>143100</t>
  </si>
  <si>
    <t>مفرمة اللحوم و الخضروات الحديثة 3 لتر</t>
  </si>
  <si>
    <t>IQ030401MOGH99</t>
  </si>
  <si>
    <t>143032</t>
  </si>
  <si>
    <t>قطاعة الخضروات الحديثة</t>
  </si>
  <si>
    <t>IQ030401ATTA99</t>
  </si>
  <si>
    <t>143232</t>
  </si>
  <si>
    <t>قطاعة الخضروات الحديثة تعمل بالشحن Denx</t>
  </si>
  <si>
    <t>IQ030401KHOD99</t>
  </si>
  <si>
    <t>143654</t>
  </si>
  <si>
    <t>محضرة الخضروات الحديثة</t>
  </si>
  <si>
    <t>IQ030401ATMO99</t>
  </si>
  <si>
    <t>143421</t>
  </si>
  <si>
    <t>مفرمة اللحوم الكهربائية ENZO</t>
  </si>
  <si>
    <t>IQ030401ENZO99</t>
  </si>
  <si>
    <t>143518</t>
  </si>
  <si>
    <t>جدر تسوية الطعام الكهربائيه</t>
  </si>
  <si>
    <t>IQ030404ZPY099</t>
  </si>
  <si>
    <t>143138</t>
  </si>
  <si>
    <t>موقد 4 عيون بستاند</t>
  </si>
  <si>
    <t>IQ030401MOKD99</t>
  </si>
  <si>
    <t>142943</t>
  </si>
  <si>
    <t>غالق الأبواب السحري</t>
  </si>
  <si>
    <t>IQ030303KHLK99</t>
  </si>
  <si>
    <t>143746</t>
  </si>
  <si>
    <t>زاوية حمام 4 دور</t>
  </si>
  <si>
    <t>IQ030106ZAWW99</t>
  </si>
  <si>
    <t>143737</t>
  </si>
  <si>
    <t>مجفف أحذية</t>
  </si>
  <si>
    <t>IQ030303MAGF99</t>
  </si>
  <si>
    <t>143046</t>
  </si>
  <si>
    <t>صوبه منضدية مودكس</t>
  </si>
  <si>
    <t>IQ030401ASRS99</t>
  </si>
  <si>
    <t>143131</t>
  </si>
  <si>
    <t>قفل باب ذكي Smart Lock</t>
  </si>
  <si>
    <t>IQ030303SMAR99</t>
  </si>
  <si>
    <t>143701</t>
  </si>
  <si>
    <t>سرير هوائي قابل للنفخ Air Bed Single Size + منفاخ</t>
  </si>
  <si>
    <t>IQ030501BEDM99</t>
  </si>
  <si>
    <t>مازالت المنصة تجمع إحصائيات المنتج · عرض مجمّع: IQ030103AIRS99 + IQ050202PUMP99</t>
  </si>
  <si>
    <t>143155</t>
  </si>
  <si>
    <t>بلور هواء كبير شحن متعدد الاستخدامات</t>
  </si>
  <si>
    <t>IQ050402PLAH99</t>
  </si>
  <si>
    <t>144332</t>
  </si>
  <si>
    <t>سرير هوائي قابل للنفخ Air Bed Double Size</t>
  </si>
  <si>
    <t>IQ030103BEDF99</t>
  </si>
  <si>
    <t>143123</t>
  </si>
  <si>
    <t>كرسي استراحة هزاز</t>
  </si>
  <si>
    <t>IQ030103CORS99</t>
  </si>
  <si>
    <t>143344</t>
  </si>
  <si>
    <t>مغسلة متحركة سهلة التنقل</t>
  </si>
  <si>
    <t>IQ051001QWA99</t>
  </si>
  <si>
    <t>144404</t>
  </si>
  <si>
    <t>خلايا شمسية للشحن السريع</t>
  </si>
  <si>
    <t>IQ010502AHJU99</t>
  </si>
  <si>
    <t>143820</t>
  </si>
  <si>
    <t>كشاف طاقة شمسية 12 لمبة Solar Sensor Light</t>
  </si>
  <si>
    <t>IQ030201KSLK99</t>
  </si>
  <si>
    <t>143503</t>
  </si>
  <si>
    <t>كشاف خارجي طاقة شمسية مزود بباور بانك 200 وات</t>
  </si>
  <si>
    <t>IQ030201KALM99</t>
  </si>
  <si>
    <t>143220</t>
  </si>
  <si>
    <t>مولد طاقة كهربائية بالطاقة الشمسية و الكهرباء Gizzu</t>
  </si>
  <si>
    <t>IQ050402POWR00</t>
  </si>
  <si>
    <t>144453</t>
  </si>
  <si>
    <t>داش كام 3 كاميرات للسيارة Full HD</t>
  </si>
  <si>
    <t>IQ050105DACA99</t>
  </si>
  <si>
    <t>144515</t>
  </si>
  <si>
    <t>داش كام للسيارة بأربع عدسات</t>
  </si>
  <si>
    <t>IQ050101ZHX0099</t>
  </si>
  <si>
    <t>144442</t>
  </si>
  <si>
    <t>كمبروسر و باوربانك للسيارة</t>
  </si>
  <si>
    <t>IQ050101POWS99</t>
  </si>
  <si>
    <t>144551</t>
  </si>
  <si>
    <t>داش كام 4 كاميرات للسيارة QUAD CAMERA Full HD</t>
  </si>
  <si>
    <t>IQ050105QUAD99</t>
  </si>
  <si>
    <t>144523</t>
  </si>
  <si>
    <t>شاحن بطارية سيارة و الموبايل مع منفاخ للإطارات</t>
  </si>
  <si>
    <t>IQ050101JZQP99</t>
  </si>
  <si>
    <t>144433</t>
  </si>
  <si>
    <t>قفل سيارة ذكي للباركينج</t>
  </si>
  <si>
    <t>IQ050101AUTO99</t>
  </si>
  <si>
    <t>144357</t>
  </si>
  <si>
    <t>أداة تصوير 360 درجة</t>
  </si>
  <si>
    <t>IQ010106CAMM99</t>
  </si>
  <si>
    <t>143807</t>
  </si>
  <si>
    <t>Galaxy Projector USB</t>
  </si>
  <si>
    <t>IQ030102LIGH99</t>
  </si>
  <si>
    <t>142955</t>
  </si>
  <si>
    <t>راوتر محمول 5G</t>
  </si>
  <si>
    <t>IQ010501ASNN99</t>
  </si>
  <si>
    <t>143812</t>
  </si>
  <si>
    <t>بروجكتور USB</t>
  </si>
  <si>
    <t>IQ010403USBP99</t>
  </si>
  <si>
    <t>143800</t>
  </si>
  <si>
    <t>جينرال ايبوكسي (عازل متعدد الاستخدامات)</t>
  </si>
  <si>
    <t>IQ050401GENI99</t>
  </si>
  <si>
    <t>144559</t>
  </si>
  <si>
    <t>المادة السحرية لعزل المياه</t>
  </si>
  <si>
    <t>IQ050401BLWA99</t>
  </si>
  <si>
    <t>144348</t>
  </si>
  <si>
    <t xml:space="preserve">   دليل القراءة</t>
  </si>
  <si>
    <t>●</t>
  </si>
  <si>
    <t>ممتاز / جيد = تقييم المنصة لنسبة التأكيد ونسبة التوصيل. الأخضر الغامق في الأعمدة يعني نسبة أعلى.</t>
  </si>
  <si>
    <t>— = المنتج لسه مالوش إحصائيات على المنصة (مكتوب في صفحته: مازلنا نعمل على توفير إحصائيات لهذا المنتج).</t>
  </si>
  <si>
    <t>التسليم المتوقع = نسبة التأكيد × نسبة التوصيل، يعني تقريباً كام طلب من كل 100 طلب هيتسلّم فعلاً. بيتحسب بس لو النسبتين ظاهرين.</t>
  </si>
  <si>
    <t>أقل ربح باللون الأحمر = 0 د.ع، يعني أقل سعر بيع هو نفس سعر المنتج.</t>
  </si>
  <si>
    <t>خصم القطعتين / خصومات الكمية = عروض الكمية المكتوبة في صفحة المنتج.</t>
  </si>
  <si>
    <t>ملخص المجموعات</t>
  </si>
  <si>
    <t>المجموعة</t>
  </si>
  <si>
    <t>عدد المنتجات</t>
  </si>
  <si>
    <t>أقل سعر</t>
  </si>
  <si>
    <t>أعلى سعر</t>
  </si>
  <si>
    <t>متوسط السعر</t>
  </si>
  <si>
    <t>منتجات ليها إحصائيات</t>
  </si>
  <si>
    <t>أعلى نسبة تأكيد</t>
  </si>
  <si>
    <t>أعلى نسبة توصيل</t>
  </si>
  <si>
    <t>أعلى تسليم متوقع</t>
  </si>
  <si>
    <t>المكانس الكهربائية</t>
  </si>
  <si>
    <t>أجهزة التنظيف بالبخار</t>
  </si>
  <si>
    <t>محضرات الطعام والخلاطات</t>
  </si>
  <si>
    <t>المفارم والقطاعات</t>
  </si>
  <si>
    <t>أجهزة مطبخ أخرى</t>
  </si>
  <si>
    <t>منزل متنوع</t>
  </si>
  <si>
    <t>الأسرّة الهوائية والمنافيخ</t>
  </si>
  <si>
    <t>أثاث وتخييم</t>
  </si>
  <si>
    <t>الطاقة الشمسية</t>
  </si>
  <si>
    <t>السيارات (داش كام وإكسسوارات)</t>
  </si>
  <si>
    <t>إلكترونيات وتقنية</t>
  </si>
  <si>
    <t>العزل والصيانة</t>
  </si>
  <si>
    <t>الإجمالي</t>
  </si>
  <si>
    <t>18,000 د.ع</t>
  </si>
  <si>
    <t>21,000 د.ع</t>
  </si>
  <si>
    <t>3,000 د.ع</t>
  </si>
  <si>
    <t>4 قطع</t>
  </si>
  <si>
    <t>33,000 د.ع</t>
  </si>
  <si>
    <t>36,000 د.ع</t>
  </si>
  <si>
    <t>39,000 د.ع</t>
  </si>
  <si>
    <t>37,000 د.ع</t>
  </si>
  <si>
    <t>40,000 د.ع</t>
  </si>
  <si>
    <t>26,500 د.ع</t>
  </si>
  <si>
    <t>28,500 د.ع</t>
  </si>
  <si>
    <t>2,000 د.ع</t>
  </si>
  <si>
    <t>2 قطع</t>
  </si>
  <si>
    <t>41,000 د.ع</t>
  </si>
  <si>
    <t>3 قطع</t>
  </si>
  <si>
    <t>43,000 د.ع</t>
  </si>
  <si>
    <t>45,000 د.ع</t>
  </si>
  <si>
    <t>11,500 د.ع</t>
  </si>
  <si>
    <t>-</t>
  </si>
  <si>
    <t>19,000 د.ع</t>
  </si>
  <si>
    <t>53,500 د.ع</t>
  </si>
  <si>
    <t>58,500 د.ع</t>
  </si>
  <si>
    <t>5,000 د.ع</t>
  </si>
  <si>
    <t>90,000 د.ع</t>
  </si>
  <si>
    <t>95,000 د.ع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</si>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</sst>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د.ع&quot;;\-#,##0&quot; د.ع&quot;;\-"/>
    <numFmt numFmtId="165" formatCode="0%;\-0%;\-"/>
    <numFmt numFmtId="166" formatCode="0&quot; قطع&quot;;;\-"/>
  </numFmts>
  <fonts count="5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475569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D4ED8"/>
      <name val="Arial"/>
      <charset val="1"/>
    </font>
    <font>
      <b/>
      <sz val="10"/>
      <color rgb="FF0F172A"/>
      <name val="Arial"/>
      <charset val="1"/>
    </font>
    <font>
      <b/>
      <sz val="10"/>
      <color rgb="FF1D4ED8"/>
      <name val="Consolas"/>
      <charset val="1"/>
    </font>
    <font>
      <b/>
      <sz val="11"/>
      <color rgb="FF0F172A"/>
      <name val="Arial"/>
      <charset val="1"/>
    </font>
    <font>
      <sz val="10"/>
      <color rgb="FF1E293B"/>
      <name val="Arial"/>
      <charset val="1"/>
    </font>
    <font>
      <b/>
      <sz val="10"/>
      <color rgb="FF15803D"/>
      <name val="Arial"/>
      <charset val="1"/>
    </font>
    <font>
      <b/>
      <sz val="10"/>
      <color rgb="FF7C3AED"/>
      <name val="Arial"/>
      <charset val="1"/>
    </font>
    <font>
      <b/>
      <sz val="10"/>
      <color rgb="FF166534"/>
      <name val="Arial"/>
      <charset val="1"/>
    </font>
    <font>
      <sz val="9"/>
      <color rgb="FF475569"/>
      <name val="Arial"/>
      <charset val="1"/>
    </font>
    <font>
      <sz val="9"/>
      <color rgb="FF94A3B8"/>
      <name val="Arial"/>
      <charset val="1"/>
    </font>
    <font>
      <sz val="10"/>
      <color rgb="FFCBD5E1"/>
      <name val="Arial"/>
      <charset val="1"/>
    </font>
    <font>
      <sz val="10"/>
      <color rgb="FFB91C1C"/>
      <name val="Arial"/>
      <charset val="1"/>
    </font>
    <font>
      <i/>
      <sz val="9"/>
      <color rgb="FF94A3B8"/>
      <name val="Arial"/>
      <charset val="1"/>
    </font>
    <font>
      <b/>
      <sz val="10"/>
      <color rgb="FF0E7490"/>
      <name val="Arial"/>
      <charset val="1"/>
    </font>
    <font>
      <b/>
      <sz val="10"/>
      <color rgb="FF0E7490"/>
      <name val="Consolas"/>
      <charset val="1"/>
    </font>
    <font>
      <b/>
      <sz val="10"/>
      <color rgb="FF1E40AF"/>
      <name val="Arial"/>
      <charset val="1"/>
    </font>
    <font>
      <b/>
      <sz val="10"/>
      <color rgb="FFC2410C"/>
      <name val="Arial"/>
      <charset val="1"/>
    </font>
    <font>
      <b/>
      <sz val="10"/>
      <color rgb="FFC2410C"/>
      <name val="Consolas"/>
      <charset val="1"/>
    </font>
    <font>
      <i/>
      <sz val="9"/>
      <color rgb="FF475569"/>
      <name val="Arial"/>
      <charset val="1"/>
    </font>
    <font>
      <b/>
      <sz val="10"/>
      <color rgb="FFB45309"/>
      <name val="Arial"/>
      <charset val="1"/>
    </font>
    <font>
      <b/>
      <sz val="10"/>
      <color rgb="FFB45309"/>
      <name val="Consolas"/>
      <charset val="1"/>
    </font>
    <font>
      <b/>
      <sz val="10"/>
      <color rgb="FF9F1239"/>
      <name val="Arial"/>
      <charset val="1"/>
    </font>
    <font>
      <b/>
      <sz val="10"/>
      <color rgb="FF9F1239"/>
      <name val="Consolas"/>
      <charset val="1"/>
    </font>
    <font>
      <b/>
      <sz val="10"/>
      <color rgb="FF7E22CE"/>
      <name val="Arial"/>
      <charset val="1"/>
    </font>
    <font>
      <b/>
      <sz val="10"/>
      <color rgb="FF7E22CE"/>
      <name val="Consolas"/>
      <charset val="1"/>
    </font>
    <font>
      <b/>
      <sz val="10"/>
      <color rgb="FF4338CA"/>
      <name val="Arial"/>
      <charset val="1"/>
    </font>
    <font>
      <b/>
      <sz val="10"/>
      <color rgb="FF4338CA"/>
      <name val="Consolas"/>
      <charset val="1"/>
    </font>
    <font>
      <b/>
      <sz val="10"/>
      <color rgb="FF15803D"/>
      <name val="Consolas"/>
      <charset val="1"/>
    </font>
    <font>
      <b/>
      <sz val="10"/>
      <color rgb="FFA16207"/>
      <name val="Arial"/>
      <charset val="1"/>
    </font>
    <font>
      <b/>
      <sz val="10"/>
      <color rgb="FFA16207"/>
      <name val="Consolas"/>
      <charset val="1"/>
    </font>
    <font>
      <b/>
      <sz val="10"/>
      <color rgb="FF334155"/>
      <name val="Arial"/>
      <charset val="1"/>
    </font>
    <font>
      <b/>
      <sz val="10"/>
      <color rgb="FF334155"/>
      <name val="Consolas"/>
      <charset val="1"/>
    </font>
    <font>
      <b/>
      <sz val="10"/>
      <color rgb="FF0F766E"/>
      <name val="Arial"/>
      <charset val="1"/>
    </font>
    <font>
      <b/>
      <sz val="10"/>
      <color rgb="FF0F766E"/>
      <name val="Consolas"/>
      <charset val="1"/>
    </font>
    <font>
      <b/>
      <sz val="10"/>
      <color rgb="FF475569"/>
      <name val="Arial"/>
      <charset val="1"/>
    </font>
    <font>
      <b/>
      <sz val="10"/>
      <color rgb="FF475569"/>
      <name val="Consolas"/>
      <charset val="1"/>
    </font>
    <font>
      <b/>
      <sz val="11"/>
      <color rgb="FFFFFFFF"/>
      <name val="Arial"/>
      <charset val="1"/>
    </font>
    <font>
      <b/>
      <sz val="12"/>
      <color rgb="FF166534"/>
      <name val="Arial"/>
      <charset val="1"/>
    </font>
    <font>
      <sz val="9"/>
      <color rgb="FF334155"/>
      <name val="Arial"/>
      <charset val="1"/>
    </font>
    <font>
      <b/>
      <sz val="12"/>
      <color rgb="FF94A3B8"/>
      <name val="Arial"/>
      <charset val="1"/>
    </font>
    <font>
      <b/>
      <sz val="12"/>
      <color rgb="FF0F172A"/>
      <name val="Arial"/>
      <charset val="1"/>
    </font>
    <font>
      <b/>
      <sz val="12"/>
      <color rgb="FFB91C1C"/>
      <name val="Arial"/>
      <charset val="1"/>
    </font>
    <font>
      <b/>
      <sz val="12"/>
      <color rgb="FF7C3AED"/>
      <name val="Arial"/>
      <charset val="1"/>
    </font>
    <font>
      <sz val="10"/>
      <name val="FreeSans"/>
      <family val="2"/>
    </font>
    <font>
      <sz val="10"/>
      <name val="Arial"/>
      <family val="2"/>
    </font>
    <font>
      <b/>
      <sz val="16"/>
      <color rgb="FFFFFFFF"/>
      <name val="Arial"/>
      <charset val="1"/>
    </font>
  </fonts>
  <fills count="30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1F5F9"/>
        <bgColor rgb="FFFAFBFC"/>
      </patternFill>
    </fill>
    <fill>
      <patternFill patternType="solid">
        <fgColor rgb="FF1E293B"/>
        <bgColor rgb="FF0F172A"/>
      </patternFill>
    </fill>
    <fill>
      <patternFill patternType="solid">
        <fgColor rgb="FF1D4ED8"/>
        <bgColor rgb="FF1E40AF"/>
      </patternFill>
    </fill>
    <fill>
      <patternFill patternType="solid">
        <fgColor rgb="FFDBEAFE"/>
        <bgColor rgb="FFE0E7FF"/>
      </patternFill>
    </fill>
    <fill>
      <patternFill patternType="solid">
        <fgColor rgb="FFFFFFFF"/>
        <bgColor rgb="FFFAFBFC"/>
      </patternFill>
    </fill>
    <fill>
      <patternFill patternType="solid">
        <fgColor rgb="FFDCFCE7"/>
        <bgColor rgb="FFCCFBF1"/>
      </patternFill>
    </fill>
    <fill>
      <patternFill patternType="solid">
        <fgColor rgb="FFFAFBFC"/>
        <bgColor rgb="FFFFFFFF"/>
      </patternFill>
    </fill>
    <fill>
      <patternFill patternType="solid">
        <fgColor rgb="FF0E7490"/>
        <bgColor rgb="FF0F766E"/>
      </patternFill>
    </fill>
    <fill>
      <patternFill patternType="solid">
        <fgColor rgb="FFCFFAFE"/>
        <bgColor rgb="FFCCFBF1"/>
      </patternFill>
    </fill>
    <fill>
      <patternFill patternType="solid">
        <fgColor rgb="FFC2410C"/>
        <bgColor rgb="FFB45309"/>
      </patternFill>
    </fill>
    <fill>
      <patternFill patternType="solid">
        <fgColor rgb="FFFFEDD5"/>
        <bgColor rgb="FFFEF3C7"/>
      </patternFill>
    </fill>
    <fill>
      <patternFill patternType="solid">
        <fgColor rgb="FFB45309"/>
        <bgColor rgb="FFA16207"/>
      </patternFill>
    </fill>
    <fill>
      <patternFill patternType="solid">
        <fgColor rgb="FFFEF3C7"/>
        <bgColor rgb="FFFEF9C3"/>
      </patternFill>
    </fill>
    <fill>
      <patternFill patternType="solid">
        <fgColor rgb="FF9F1239"/>
        <bgColor rgb="FFB91C1C"/>
      </patternFill>
    </fill>
    <fill>
      <patternFill patternType="solid">
        <fgColor rgb="FFFFE4E6"/>
        <bgColor rgb="FFFFEDD5"/>
      </patternFill>
    </fill>
    <fill>
      <patternFill patternType="solid">
        <fgColor rgb="FF7E22CE"/>
        <bgColor rgb="FF7C3AED"/>
      </patternFill>
    </fill>
    <fill>
      <patternFill patternType="solid">
        <fgColor rgb="FFF3E8FF"/>
        <bgColor rgb="FFF1F5F9"/>
      </patternFill>
    </fill>
    <fill>
      <patternFill patternType="solid">
        <fgColor rgb="FF4338CA"/>
        <bgColor rgb="FF1E40AF"/>
      </patternFill>
    </fill>
    <fill>
      <patternFill patternType="solid">
        <fgColor rgb="FFE0E7FF"/>
        <bgColor rgb="FFDBEAFE"/>
      </patternFill>
    </fill>
    <fill>
      <patternFill patternType="solid">
        <fgColor rgb="FF15803D"/>
        <bgColor rgb="FF0F766E"/>
      </patternFill>
    </fill>
    <fill>
      <patternFill patternType="solid">
        <fgColor rgb="FFA16207"/>
        <bgColor rgb="FFB45309"/>
      </patternFill>
    </fill>
    <fill>
      <patternFill patternType="solid">
        <fgColor rgb="FFFEF9C3"/>
        <bgColor rgb="FFFEF3C7"/>
      </patternFill>
    </fill>
    <fill>
      <patternFill patternType="solid">
        <fgColor rgb="FF334155"/>
        <bgColor rgb="FF475569"/>
      </patternFill>
    </fill>
    <fill>
      <patternFill patternType="solid">
        <fgColor rgb="FFE2E8F0"/>
        <bgColor rgb="FFE0E7FF"/>
      </patternFill>
    </fill>
    <fill>
      <patternFill patternType="solid">
        <fgColor rgb="FF0F766E"/>
        <bgColor rgb="FF0E7490"/>
      </patternFill>
    </fill>
    <fill>
      <patternFill patternType="solid">
        <fgColor rgb="FFCCFBF1"/>
        <bgColor rgb="FFCFFAFE"/>
      </patternFill>
    </fill>
    <fill>
      <patternFill patternType="solid">
        <fgColor rgb="FF475569"/>
        <bgColor rgb="FF334155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29" borderId="0" xfId="0" applyFont="1" applyFill="1" applyBorder="1" applyAlignment="1">
      <alignment horizontal="right" vertical="center" indent="1"/>
    </xf>
    <xf numFmtId="0" fontId="4" fillId="27" borderId="0" xfId="0" applyFont="1" applyFill="1" applyBorder="1" applyAlignment="1">
      <alignment horizontal="right" vertical="center" indent="1"/>
    </xf>
    <xf numFmtId="0" fontId="4" fillId="25" borderId="0" xfId="0" applyFont="1" applyFill="1" applyBorder="1" applyAlignment="1">
      <alignment horizontal="right" vertical="center" indent="1"/>
    </xf>
    <xf numFmtId="0" fontId="4" fillId="23" borderId="0" xfId="0" applyFont="1" applyFill="1" applyBorder="1" applyAlignment="1">
      <alignment horizontal="right" vertical="center" indent="1"/>
    </xf>
    <xf numFmtId="0" fontId="4" fillId="22" borderId="0" xfId="0" applyFont="1" applyFill="1" applyBorder="1" applyAlignment="1">
      <alignment horizontal="right" vertical="center" indent="1"/>
    </xf>
    <xf numFmtId="0" fontId="4" fillId="20" borderId="0" xfId="0" applyFont="1" applyFill="1" applyBorder="1" applyAlignment="1">
      <alignment horizontal="right" vertical="center" indent="1"/>
    </xf>
    <xf numFmtId="0" fontId="4" fillId="18" borderId="0" xfId="0" applyFont="1" applyFill="1" applyBorder="1" applyAlignment="1">
      <alignment horizontal="right" vertical="center" indent="1"/>
    </xf>
    <xf numFmtId="0" fontId="4" fillId="16" borderId="0" xfId="0" applyFont="1" applyFill="1" applyBorder="1" applyAlignment="1">
      <alignment horizontal="right" vertical="center" indent="1"/>
    </xf>
    <xf numFmtId="0" fontId="4" fillId="14" borderId="0" xfId="0" applyFont="1" applyFill="1" applyBorder="1" applyAlignment="1">
      <alignment horizontal="right" vertical="center" indent="1"/>
    </xf>
    <xf numFmtId="0" fontId="4" fillId="12" borderId="0" xfId="0" applyFont="1" applyFill="1" applyBorder="1" applyAlignment="1">
      <alignment horizontal="right" vertical="center" indent="1"/>
    </xf>
    <xf numFmtId="0" fontId="4" fillId="10" borderId="0" xfId="0" applyFont="1" applyFill="1" applyBorder="1" applyAlignment="1">
      <alignment horizontal="right" vertical="center" indent="1"/>
    </xf>
    <xf numFmtId="0" fontId="4" fillId="5" borderId="0" xfId="0" applyFont="1" applyFill="1" applyBorder="1" applyAlignment="1">
      <alignment horizontal="right" vertical="center" inden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right" vertical="center" wrapText="1" indent="1"/>
    </xf>
    <xf numFmtId="0" fontId="7" fillId="6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165" fontId="11" fillId="7" borderId="1" xfId="0" applyNumberFormat="1" applyFont="1" applyFill="1" applyBorder="1" applyAlignment="1">
      <alignment horizontal="center" vertical="center" wrapText="1"/>
    </xf>
    <xf numFmtId="166" fontId="11" fillId="7" borderId="1" xfId="0" applyNumberFormat="1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right" vertical="center" wrapText="1" indent="1"/>
    </xf>
    <xf numFmtId="0" fontId="14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right" vertical="center" wrapText="1" indent="1"/>
    </xf>
    <xf numFmtId="164" fontId="8" fillId="9" borderId="1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6" fontId="9" fillId="9" borderId="1" xfId="0" applyNumberFormat="1" applyFont="1" applyFill="1" applyBorder="1" applyAlignment="1">
      <alignment horizontal="center" vertical="center" wrapText="1"/>
    </xf>
    <xf numFmtId="165" fontId="8" fillId="9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right" vertical="center" wrapText="1" indent="1"/>
    </xf>
    <xf numFmtId="0" fontId="14" fillId="9" borderId="1" xfId="0" applyFont="1" applyFill="1" applyBorder="1" applyAlignment="1">
      <alignment horizontal="center" vertical="center" wrapText="1"/>
    </xf>
    <xf numFmtId="164" fontId="16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right" vertical="center" wrapText="1" indent="1"/>
    </xf>
    <xf numFmtId="164" fontId="16" fillId="9" borderId="1" xfId="0" applyNumberFormat="1" applyFont="1" applyFill="1" applyBorder="1" applyAlignment="1">
      <alignment horizontal="center" vertical="center" wrapText="1"/>
    </xf>
    <xf numFmtId="165" fontId="11" fillId="9" borderId="1" xfId="0" applyNumberFormat="1" applyFont="1" applyFill="1" applyBorder="1" applyAlignment="1">
      <alignment horizontal="center" vertical="center" wrapText="1"/>
    </xf>
    <xf numFmtId="166" fontId="11" fillId="9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right" vertical="center" wrapText="1" indent="1"/>
    </xf>
    <xf numFmtId="0" fontId="18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right" vertical="center" wrapText="1" indent="1"/>
    </xf>
    <xf numFmtId="0" fontId="24" fillId="15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horizontal="center" vertical="center" wrapText="1"/>
    </xf>
    <xf numFmtId="0" fontId="30" fillId="21" borderId="1" xfId="0" applyFont="1" applyFill="1" applyBorder="1" applyAlignment="1">
      <alignment horizontal="center" vertical="center" wrapText="1"/>
    </xf>
    <xf numFmtId="0" fontId="31" fillId="2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3" fillId="24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5" fillId="26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center" vertical="center" wrapText="1"/>
    </xf>
    <xf numFmtId="0" fontId="37" fillId="28" borderId="1" xfId="0" applyFont="1" applyFill="1" applyBorder="1" applyAlignment="1">
      <alignment horizontal="center" vertical="center" wrapText="1"/>
    </xf>
    <xf numFmtId="0" fontId="38" fillId="28" borderId="1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2" fillId="8" borderId="0" xfId="0" applyFont="1" applyFill="1" applyAlignment="1">
      <alignment horizontal="center" vertical="center" wrapText="1"/>
    </xf>
    <xf numFmtId="0" fontId="44" fillId="7" borderId="0" xfId="0" applyFont="1" applyFill="1" applyAlignment="1">
      <alignment horizontal="center" vertical="center" wrapText="1"/>
    </xf>
    <xf numFmtId="0" fontId="45" fillId="7" borderId="0" xfId="0" applyFont="1" applyFill="1" applyAlignment="1">
      <alignment horizontal="center" vertical="center" wrapText="1"/>
    </xf>
    <xf numFmtId="0" fontId="46" fillId="7" borderId="0" xfId="0" applyFont="1" applyFill="1" applyAlignment="1">
      <alignment horizontal="center" vertical="center" wrapText="1"/>
    </xf>
    <xf numFmtId="0" fontId="47" fillId="7" borderId="0" xfId="0" applyFont="1" applyFill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right" vertical="center" wrapText="1" indent="1"/>
    </xf>
    <xf numFmtId="0" fontId="9" fillId="7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right" vertical="center" wrapText="1" indent="1"/>
    </xf>
    <xf numFmtId="0" fontId="9" fillId="9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right" vertical="center" wrapText="1" indent="1"/>
    </xf>
    <xf numFmtId="0" fontId="41" fillId="14" borderId="1" xfId="0" applyFont="1" applyFill="1" applyBorder="1" applyAlignment="1">
      <alignment horizontal="right" vertical="center" wrapText="1" indent="1"/>
    </xf>
    <xf numFmtId="0" fontId="41" fillId="16" borderId="1" xfId="0" applyFont="1" applyFill="1" applyBorder="1" applyAlignment="1">
      <alignment horizontal="right" vertical="center" wrapText="1" indent="1"/>
    </xf>
    <xf numFmtId="0" fontId="41" fillId="18" borderId="1" xfId="0" applyFont="1" applyFill="1" applyBorder="1" applyAlignment="1">
      <alignment horizontal="right" vertical="center" wrapText="1" indent="1"/>
    </xf>
    <xf numFmtId="0" fontId="41" fillId="20" borderId="1" xfId="0" applyFont="1" applyFill="1" applyBorder="1" applyAlignment="1">
      <alignment horizontal="right" vertical="center" wrapText="1" indent="1"/>
    </xf>
    <xf numFmtId="0" fontId="41" fillId="22" borderId="1" xfId="0" applyFont="1" applyFill="1" applyBorder="1" applyAlignment="1">
      <alignment horizontal="right" vertical="center" wrapText="1" indent="1"/>
    </xf>
    <xf numFmtId="0" fontId="41" fillId="23" borderId="1" xfId="0" applyFont="1" applyFill="1" applyBorder="1" applyAlignment="1">
      <alignment horizontal="right" vertical="center" wrapText="1" indent="1"/>
    </xf>
    <xf numFmtId="0" fontId="41" fillId="25" borderId="1" xfId="0" applyFont="1" applyFill="1" applyBorder="1" applyAlignment="1">
      <alignment horizontal="right" vertical="center" wrapText="1" indent="1"/>
    </xf>
    <xf numFmtId="0" fontId="41" fillId="27" borderId="1" xfId="0" applyFont="1" applyFill="1" applyBorder="1" applyAlignment="1">
      <alignment horizontal="right" vertical="center" wrapText="1" indent="1"/>
    </xf>
    <xf numFmtId="0" fontId="41" fillId="29" borderId="1" xfId="0" applyFont="1" applyFill="1" applyBorder="1" applyAlignment="1">
      <alignment horizontal="right" vertical="center" wrapText="1" indent="1"/>
    </xf>
    <xf numFmtId="1" fontId="41" fillId="2" borderId="1" xfId="0" applyNumberFormat="1" applyFont="1" applyFill="1" applyBorder="1" applyAlignment="1">
      <alignment horizontal="center" vertical="center" wrapText="1"/>
    </xf>
    <xf numFmtId="164" fontId="41" fillId="2" borderId="1" xfId="0" applyNumberFormat="1" applyFont="1" applyFill="1" applyBorder="1" applyAlignment="1">
      <alignment horizontal="center" vertical="center" wrapText="1"/>
    </xf>
    <xf numFmtId="165" fontId="41" fillId="2" borderId="1" xfId="0" applyNumberFormat="1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horizontal="right" vertical="center"/>
    </xf>
    <xf numFmtId="0" fontId="43" fillId="0" borderId="0" xfId="0" applyFont="1" applyBorder="1" applyAlignment="1">
      <alignment horizontal="right" vertical="center" wrapText="1" indent="1"/>
    </xf>
    <xf numFmtId="0" fontId="50" fillId="2" borderId="0" xfId="0" applyFont="1" applyFill="1" applyBorder="1" applyAlignment="1">
      <alignment horizontal="center"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DD5"/>
      <rgbColor rgb="FFFF00FF"/>
      <rgbColor rgb="FF00FFFF"/>
      <rgbColor rgb="FF9F1239"/>
      <rgbColor rgb="FF15803D"/>
      <rgbColor rgb="FF000080"/>
      <rgbColor rgb="FFA16207"/>
      <rgbColor rgb="FF7E22CE"/>
      <rgbColor rgb="FF0F766E"/>
      <rgbColor rgb="FFD5DBE3"/>
      <rgbColor rgb="FF808080"/>
      <rgbColor rgb="FFE2E8F0"/>
      <rgbColor rgb="FFB91C1C"/>
      <rgbColor rgb="FFFEF9C3"/>
      <rgbColor rgb="FFCFFAFE"/>
      <rgbColor rgb="FF660066"/>
      <rgbColor rgb="FFFF8080"/>
      <rgbColor rgb="FF1D4ED8"/>
      <rgbColor rgb="FFCBD5E1"/>
      <rgbColor rgb="FF000080"/>
      <rgbColor rgb="FFFF00FF"/>
      <rgbColor rgb="FFF1F5F9"/>
      <rgbColor rgb="FF00FFFF"/>
      <rgbColor rgb="FF7C3AED"/>
      <rgbColor rgb="FF800000"/>
      <rgbColor rgb="FF0E7490"/>
      <rgbColor rgb="FF0000FF"/>
      <rgbColor rgb="FF00CCFF"/>
      <rgbColor rgb="FFCCFBF1"/>
      <rgbColor rgb="FFDCFCE7"/>
      <rgbColor rgb="FFFEF3C7"/>
      <rgbColor rgb="FFDBEAFE"/>
      <rgbColor rgb="FFF3E8FF"/>
      <rgbColor rgb="FFE0E7FF"/>
      <rgbColor rgb="FFFFE4E6"/>
      <rgbColor rgb="FF4338CA"/>
      <rgbColor rgb="FF33CCCC"/>
      <rgbColor rgb="FF99CC00"/>
      <rgbColor rgb="FFFAFBFC"/>
      <rgbColor rgb="FFFF9900"/>
      <rgbColor rgb="FFFF6600"/>
      <rgbColor rgb="FF475569"/>
      <rgbColor rgb="FF94A3B8"/>
      <rgbColor rgb="FF166534"/>
      <rgbColor rgb="FF339966"/>
      <rgbColor rgb="FF0F172A"/>
      <rgbColor rgb="FF334155"/>
      <rgbColor rgb="FFC2410C"/>
      <rgbColor rgb="FFB45309"/>
      <rgbColor rgb="FF1E40A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showGridLines="0" rightToLeft="1" tabSelected="1" zoomScale="90" zoomScaleNormal="90" workbookViewId="0">
      <pane xSplit="2" ySplit="4" topLeftCell="C50" activePane="bottomRight" state="frozen"/>
      <selection pane="topRight" activeCell="C1" sqref="C1"/>
      <selection pane="bottomLeft" activeCell="A5" sqref="A5"/>
      <selection pane="bottomRight" activeCell="M37" sqref="M37"/>
    </sheetView>
  </sheetViews>
  <sheetFormatPr defaultColWidth="8.69140625" defaultRowHeight="14.6"/>
  <cols>
    <col min="1" max="1" width="5" customWidth="1"/>
    <col min="2" max="2" width="50" customWidth="1"/>
    <col min="3" max="3" width="20" customWidth="1"/>
    <col min="4" max="4" width="14" customWidth="1"/>
    <col min="5" max="5" width="16" customWidth="1"/>
    <col min="6" max="6" width="14" customWidth="1"/>
    <col min="7" max="7" width="11" customWidth="1"/>
    <col min="8" max="8" width="12" customWidth="1"/>
    <col min="9" max="12" width="11" customWidth="1"/>
    <col min="13" max="13" width="15" customWidth="1"/>
    <col min="14" max="14" width="40" customWidth="1"/>
    <col min="15" max="15" width="13" customWidth="1"/>
  </cols>
  <sheetData>
    <row r="1" spans="1:15" ht="39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1.7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ht="37.5" customHeight="1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</row>
    <row r="5" spans="1:15" ht="27.75" customHeight="1">
      <c r="A5" s="12" t="str">
        <f>"   المكانس الكهربائية   ·   "&amp;COUNTA(B6:B13)&amp;" منتجات   ·   السعر من "&amp;TEXT(MIN(D6:D13),"#,##0")&amp;" إلى "&amp;TEXT(MAX(D6:D13),"#,##0")&amp;" د.ع"</f>
        <v xml:space="preserve">   المكانس الكهربائية   ·   8 منتجات   ·   السعر من 18,000 إلى 101,000 د.ع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25.5" customHeight="1">
      <c r="A6" s="16">
        <v>1</v>
      </c>
      <c r="B6" s="17" t="s">
        <v>17</v>
      </c>
      <c r="C6" s="18" t="s">
        <v>18</v>
      </c>
      <c r="D6" s="19">
        <v>18000</v>
      </c>
      <c r="E6" s="20">
        <v>21000</v>
      </c>
      <c r="F6" s="21">
        <v>3000</v>
      </c>
      <c r="G6" s="22">
        <v>0.03</v>
      </c>
      <c r="H6" s="23">
        <v>4</v>
      </c>
      <c r="I6" s="24">
        <v>0.83</v>
      </c>
      <c r="J6" s="25" t="s">
        <v>19</v>
      </c>
      <c r="K6" s="24">
        <v>0.71</v>
      </c>
      <c r="L6" s="25" t="s">
        <v>19</v>
      </c>
      <c r="M6" s="26">
        <f t="shared" ref="M6:M13" si="0">IF(AND(ISNUMBER(I6),ISNUMBER(K6)),I6*K6,"")</f>
        <v>0.58929999999999993</v>
      </c>
      <c r="N6" s="27"/>
      <c r="O6" s="28" t="s">
        <v>20</v>
      </c>
    </row>
    <row r="7" spans="1:15" ht="25.5" customHeight="1">
      <c r="A7" s="16">
        <v>2</v>
      </c>
      <c r="B7" s="29" t="s">
        <v>21</v>
      </c>
      <c r="C7" s="18" t="s">
        <v>22</v>
      </c>
      <c r="D7" s="30">
        <v>33000</v>
      </c>
      <c r="E7" s="31">
        <v>36000</v>
      </c>
      <c r="F7" s="32">
        <v>3000</v>
      </c>
      <c r="G7" s="33"/>
      <c r="H7" s="34"/>
      <c r="I7" s="35">
        <v>0.79</v>
      </c>
      <c r="J7" s="25" t="s">
        <v>19</v>
      </c>
      <c r="K7" s="33"/>
      <c r="L7" s="36" t="s">
        <v>23</v>
      </c>
      <c r="M7" s="37" t="str">
        <f t="shared" si="0"/>
        <v/>
      </c>
      <c r="N7" s="38"/>
      <c r="O7" s="39" t="s">
        <v>24</v>
      </c>
    </row>
    <row r="8" spans="1:15" ht="25.5" customHeight="1">
      <c r="A8" s="16">
        <v>3</v>
      </c>
      <c r="B8" s="17" t="s">
        <v>25</v>
      </c>
      <c r="C8" s="18" t="s">
        <v>26</v>
      </c>
      <c r="D8" s="19">
        <v>34000</v>
      </c>
      <c r="E8" s="20">
        <v>34000</v>
      </c>
      <c r="F8" s="40">
        <v>0</v>
      </c>
      <c r="G8" s="41"/>
      <c r="H8" s="42"/>
      <c r="I8" s="24">
        <v>0.61</v>
      </c>
      <c r="J8" s="25" t="s">
        <v>19</v>
      </c>
      <c r="K8" s="41"/>
      <c r="L8" s="43" t="s">
        <v>23</v>
      </c>
      <c r="M8" s="26" t="str">
        <f t="shared" si="0"/>
        <v/>
      </c>
      <c r="N8" s="27"/>
      <c r="O8" s="28" t="s">
        <v>27</v>
      </c>
    </row>
    <row r="9" spans="1:15" ht="25.5" customHeight="1">
      <c r="A9" s="16">
        <v>4</v>
      </c>
      <c r="B9" s="29" t="s">
        <v>28</v>
      </c>
      <c r="C9" s="18" t="s">
        <v>29</v>
      </c>
      <c r="D9" s="30">
        <v>36000</v>
      </c>
      <c r="E9" s="31">
        <v>39000</v>
      </c>
      <c r="F9" s="32">
        <v>3000</v>
      </c>
      <c r="G9" s="33"/>
      <c r="H9" s="34"/>
      <c r="I9" s="35">
        <v>0.63</v>
      </c>
      <c r="J9" s="25" t="s">
        <v>19</v>
      </c>
      <c r="K9" s="33"/>
      <c r="L9" s="36" t="s">
        <v>23</v>
      </c>
      <c r="M9" s="37" t="str">
        <f t="shared" si="0"/>
        <v/>
      </c>
      <c r="N9" s="38"/>
      <c r="O9" s="39" t="s">
        <v>30</v>
      </c>
    </row>
    <row r="10" spans="1:15" ht="25.5" customHeight="1">
      <c r="A10" s="16">
        <v>5</v>
      </c>
      <c r="B10" s="17" t="s">
        <v>31</v>
      </c>
      <c r="C10" s="18" t="s">
        <v>32</v>
      </c>
      <c r="D10" s="19">
        <v>45000</v>
      </c>
      <c r="E10" s="20">
        <v>47000</v>
      </c>
      <c r="F10" s="21">
        <v>2000</v>
      </c>
      <c r="G10" s="41"/>
      <c r="H10" s="42"/>
      <c r="I10" s="41"/>
      <c r="J10" s="43" t="s">
        <v>23</v>
      </c>
      <c r="K10" s="41"/>
      <c r="L10" s="43" t="s">
        <v>23</v>
      </c>
      <c r="M10" s="26" t="str">
        <f t="shared" si="0"/>
        <v/>
      </c>
      <c r="N10" s="44" t="s">
        <v>33</v>
      </c>
      <c r="O10" s="28" t="s">
        <v>34</v>
      </c>
    </row>
    <row r="11" spans="1:15" ht="25.5" customHeight="1">
      <c r="A11" s="16">
        <v>6</v>
      </c>
      <c r="B11" s="29" t="s">
        <v>35</v>
      </c>
      <c r="C11" s="18" t="s">
        <v>36</v>
      </c>
      <c r="D11" s="30">
        <v>45500</v>
      </c>
      <c r="E11" s="31">
        <v>45500</v>
      </c>
      <c r="F11" s="45">
        <v>0</v>
      </c>
      <c r="G11" s="46">
        <v>0.28999999999999998</v>
      </c>
      <c r="H11" s="47">
        <v>4</v>
      </c>
      <c r="I11" s="33"/>
      <c r="J11" s="36" t="s">
        <v>23</v>
      </c>
      <c r="K11" s="33"/>
      <c r="L11" s="36" t="s">
        <v>23</v>
      </c>
      <c r="M11" s="37" t="str">
        <f t="shared" si="0"/>
        <v/>
      </c>
      <c r="N11" s="48" t="s">
        <v>33</v>
      </c>
      <c r="O11" s="39" t="s">
        <v>37</v>
      </c>
    </row>
    <row r="12" spans="1:15" ht="25.5" customHeight="1">
      <c r="A12" s="16">
        <v>7</v>
      </c>
      <c r="B12" s="17" t="s">
        <v>38</v>
      </c>
      <c r="C12" s="18" t="s">
        <v>39</v>
      </c>
      <c r="D12" s="19">
        <v>79000</v>
      </c>
      <c r="E12" s="20">
        <v>82000</v>
      </c>
      <c r="F12" s="21">
        <v>3000</v>
      </c>
      <c r="G12" s="41"/>
      <c r="H12" s="42"/>
      <c r="I12" s="41"/>
      <c r="J12" s="43" t="s">
        <v>23</v>
      </c>
      <c r="K12" s="41"/>
      <c r="L12" s="43" t="s">
        <v>23</v>
      </c>
      <c r="M12" s="26" t="str">
        <f t="shared" si="0"/>
        <v/>
      </c>
      <c r="N12" s="44" t="s">
        <v>33</v>
      </c>
      <c r="O12" s="28" t="s">
        <v>40</v>
      </c>
    </row>
    <row r="13" spans="1:15" ht="25.5" customHeight="1">
      <c r="A13" s="16">
        <v>8</v>
      </c>
      <c r="B13" s="29" t="s">
        <v>41</v>
      </c>
      <c r="C13" s="18" t="s">
        <v>42</v>
      </c>
      <c r="D13" s="30">
        <v>101000</v>
      </c>
      <c r="E13" s="31">
        <v>101000</v>
      </c>
      <c r="F13" s="45">
        <v>0</v>
      </c>
      <c r="G13" s="33"/>
      <c r="H13" s="34"/>
      <c r="I13" s="33"/>
      <c r="J13" s="36" t="s">
        <v>23</v>
      </c>
      <c r="K13" s="33"/>
      <c r="L13" s="36" t="s">
        <v>23</v>
      </c>
      <c r="M13" s="37" t="str">
        <f t="shared" si="0"/>
        <v/>
      </c>
      <c r="N13" s="48" t="s">
        <v>33</v>
      </c>
      <c r="O13" s="39" t="s">
        <v>43</v>
      </c>
    </row>
    <row r="14" spans="1:15" ht="7.5" customHeight="1"/>
    <row r="15" spans="1:15" ht="27.75" customHeight="1">
      <c r="A15" s="11" t="str">
        <f>"   أجهزة التنظيف بالبخار   ·   "&amp;COUNTA(B16:B17)&amp;" منتجات   ·   السعر من "&amp;TEXT(MIN(D16:D17),"#,##0")&amp;" إلى "&amp;TEXT(MAX(D16:D17),"#,##0")&amp;" د.ع"</f>
        <v xml:space="preserve">   أجهزة التنظيف بالبخار   ·   2 منتجات   ·   السعر من 37,000 إلى 47,000 د.ع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25.5" customHeight="1">
      <c r="A16" s="49">
        <v>9</v>
      </c>
      <c r="B16" s="17" t="s">
        <v>44</v>
      </c>
      <c r="C16" s="50" t="s">
        <v>45</v>
      </c>
      <c r="D16" s="19">
        <v>37000</v>
      </c>
      <c r="E16" s="20">
        <v>40000</v>
      </c>
      <c r="F16" s="21">
        <v>3000</v>
      </c>
      <c r="G16" s="22">
        <v>0.12</v>
      </c>
      <c r="H16" s="23">
        <v>4</v>
      </c>
      <c r="I16" s="24">
        <v>0.5</v>
      </c>
      <c r="J16" s="51" t="s">
        <v>46</v>
      </c>
      <c r="K16" s="24">
        <v>0.62</v>
      </c>
      <c r="L16" s="25" t="s">
        <v>19</v>
      </c>
      <c r="M16" s="26">
        <f>IF(AND(ISNUMBER(I16),ISNUMBER(K16)),I16*K16,"")</f>
        <v>0.31</v>
      </c>
      <c r="N16" s="27"/>
      <c r="O16" s="28" t="s">
        <v>47</v>
      </c>
    </row>
    <row r="17" spans="1:15" ht="25.5" customHeight="1">
      <c r="A17" s="49">
        <v>10</v>
      </c>
      <c r="B17" s="29" t="s">
        <v>48</v>
      </c>
      <c r="C17" s="50" t="s">
        <v>49</v>
      </c>
      <c r="D17" s="30">
        <v>47000</v>
      </c>
      <c r="E17" s="31">
        <v>50000</v>
      </c>
      <c r="F17" s="32">
        <v>3000</v>
      </c>
      <c r="G17" s="33"/>
      <c r="H17" s="34"/>
      <c r="I17" s="33"/>
      <c r="J17" s="36" t="s">
        <v>23</v>
      </c>
      <c r="K17" s="33"/>
      <c r="L17" s="36" t="s">
        <v>23</v>
      </c>
      <c r="M17" s="37" t="str">
        <f>IF(AND(ISNUMBER(I17),ISNUMBER(K17)),I17*K17,"")</f>
        <v/>
      </c>
      <c r="N17" s="48" t="s">
        <v>33</v>
      </c>
      <c r="O17" s="39" t="s">
        <v>50</v>
      </c>
    </row>
    <row r="18" spans="1:15" ht="7.5" customHeight="1"/>
    <row r="19" spans="1:15" ht="27.75" customHeight="1">
      <c r="A19" s="10" t="str">
        <f>"   محضرات الطعام والخلاطات   ·   "&amp;COUNTA(B20:B23)&amp;" منتجات   ·   السعر من "&amp;TEXT(MIN(D20:D23),"#,##0")&amp;" إلى "&amp;TEXT(MAX(D20:D23),"#,##0")&amp;" د.ع"</f>
        <v xml:space="preserve">   محضرات الطعام والخلاطات   ·   4 منتجات   ·   السعر من 26,500 إلى 88,500 د.ع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ht="25.5" customHeight="1">
      <c r="A20" s="52">
        <v>11</v>
      </c>
      <c r="B20" s="17" t="s">
        <v>51</v>
      </c>
      <c r="C20" s="53" t="s">
        <v>52</v>
      </c>
      <c r="D20" s="19">
        <v>26500</v>
      </c>
      <c r="E20" s="20">
        <v>28500</v>
      </c>
      <c r="F20" s="21">
        <v>2000</v>
      </c>
      <c r="G20" s="22">
        <v>0.23</v>
      </c>
      <c r="H20" s="23">
        <v>2</v>
      </c>
      <c r="I20" s="24">
        <v>0.56000000000000005</v>
      </c>
      <c r="J20" s="51" t="s">
        <v>46</v>
      </c>
      <c r="K20" s="24">
        <v>0.62</v>
      </c>
      <c r="L20" s="25" t="s">
        <v>19</v>
      </c>
      <c r="M20" s="26">
        <f>IF(AND(ISNUMBER(I20),ISNUMBER(K20)),I20*K20,"")</f>
        <v>0.34720000000000001</v>
      </c>
      <c r="N20" s="27"/>
      <c r="O20" s="28" t="s">
        <v>53</v>
      </c>
    </row>
    <row r="21" spans="1:15" ht="25.5" customHeight="1">
      <c r="A21" s="52">
        <v>12</v>
      </c>
      <c r="B21" s="29" t="s">
        <v>54</v>
      </c>
      <c r="C21" s="53" t="s">
        <v>55</v>
      </c>
      <c r="D21" s="30">
        <v>39000</v>
      </c>
      <c r="E21" s="31">
        <v>41000</v>
      </c>
      <c r="F21" s="32">
        <v>2000</v>
      </c>
      <c r="G21" s="46">
        <v>0.31</v>
      </c>
      <c r="H21" s="47">
        <v>3</v>
      </c>
      <c r="I21" s="35">
        <v>0.53</v>
      </c>
      <c r="J21" s="51" t="s">
        <v>46</v>
      </c>
      <c r="K21" s="35">
        <v>0.69</v>
      </c>
      <c r="L21" s="25" t="s">
        <v>19</v>
      </c>
      <c r="M21" s="37">
        <f>IF(AND(ISNUMBER(I21),ISNUMBER(K21)),I21*K21,"")</f>
        <v>0.36569999999999997</v>
      </c>
      <c r="N21" s="38"/>
      <c r="O21" s="39" t="s">
        <v>56</v>
      </c>
    </row>
    <row r="22" spans="1:15" ht="25.5" customHeight="1">
      <c r="A22" s="52">
        <v>13</v>
      </c>
      <c r="B22" s="17" t="s">
        <v>57</v>
      </c>
      <c r="C22" s="53" t="s">
        <v>58</v>
      </c>
      <c r="D22" s="19">
        <v>43000</v>
      </c>
      <c r="E22" s="20">
        <v>45000</v>
      </c>
      <c r="F22" s="21">
        <v>2000</v>
      </c>
      <c r="G22" s="41"/>
      <c r="H22" s="42"/>
      <c r="I22" s="41"/>
      <c r="J22" s="43" t="s">
        <v>23</v>
      </c>
      <c r="K22" s="41"/>
      <c r="L22" s="43" t="s">
        <v>23</v>
      </c>
      <c r="M22" s="26" t="str">
        <f>IF(AND(ISNUMBER(I22),ISNUMBER(K22)),I22*K22,"")</f>
        <v/>
      </c>
      <c r="N22" s="54" t="s">
        <v>59</v>
      </c>
      <c r="O22" s="28" t="s">
        <v>60</v>
      </c>
    </row>
    <row r="23" spans="1:15" ht="25.5" customHeight="1">
      <c r="A23" s="52">
        <v>14</v>
      </c>
      <c r="B23" s="29" t="s">
        <v>61</v>
      </c>
      <c r="C23" s="53" t="s">
        <v>62</v>
      </c>
      <c r="D23" s="30">
        <v>88500</v>
      </c>
      <c r="E23" s="31">
        <v>90500</v>
      </c>
      <c r="F23" s="32">
        <v>2000</v>
      </c>
      <c r="G23" s="46">
        <v>0.11</v>
      </c>
      <c r="H23" s="47">
        <v>3</v>
      </c>
      <c r="I23" s="33"/>
      <c r="J23" s="36" t="s">
        <v>23</v>
      </c>
      <c r="K23" s="33"/>
      <c r="L23" s="36" t="s">
        <v>23</v>
      </c>
      <c r="M23" s="37" t="str">
        <f>IF(AND(ISNUMBER(I23),ISNUMBER(K23)),I23*K23,"")</f>
        <v/>
      </c>
      <c r="N23" s="48" t="s">
        <v>33</v>
      </c>
      <c r="O23" s="39" t="s">
        <v>63</v>
      </c>
    </row>
    <row r="24" spans="1:15" ht="7.5" customHeight="1"/>
    <row r="25" spans="1:15" ht="27.75" customHeight="1">
      <c r="A25" s="9" t="str">
        <f>"   المفارم والقطاعات   ·   "&amp;COUNTA(B26:B30)&amp;" منتجات   ·   السعر من "&amp;TEXT(MIN(D26:D30),"#,##0")&amp;" إلى "&amp;TEXT(MAX(D26:D30),"#,##0")&amp;" د.ع"</f>
        <v xml:space="preserve">   المفارم والقطاعات   ·   5 منتجات   ·   السعر من 21,000 إلى 59,000 د.ع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25.5" customHeight="1">
      <c r="A26" s="55">
        <v>15</v>
      </c>
      <c r="B26" s="17" t="s">
        <v>64</v>
      </c>
      <c r="C26" s="56" t="s">
        <v>65</v>
      </c>
      <c r="D26" s="19">
        <v>21000</v>
      </c>
      <c r="E26" s="20">
        <v>24000</v>
      </c>
      <c r="F26" s="21">
        <v>3000</v>
      </c>
      <c r="G26" s="22">
        <v>0.05</v>
      </c>
      <c r="H26" s="23">
        <v>4</v>
      </c>
      <c r="I26" s="24">
        <v>0.51</v>
      </c>
      <c r="J26" s="51" t="s">
        <v>46</v>
      </c>
      <c r="K26" s="41"/>
      <c r="L26" s="43" t="s">
        <v>23</v>
      </c>
      <c r="M26" s="26" t="str">
        <f>IF(AND(ISNUMBER(I26),ISNUMBER(K26)),I26*K26,"")</f>
        <v/>
      </c>
      <c r="N26" s="27"/>
      <c r="O26" s="28" t="s">
        <v>66</v>
      </c>
    </row>
    <row r="27" spans="1:15" ht="25.5" customHeight="1">
      <c r="A27" s="55">
        <v>16</v>
      </c>
      <c r="B27" s="29" t="s">
        <v>67</v>
      </c>
      <c r="C27" s="56" t="s">
        <v>68</v>
      </c>
      <c r="D27" s="30">
        <v>29000</v>
      </c>
      <c r="E27" s="31">
        <v>32000</v>
      </c>
      <c r="F27" s="32">
        <v>3000</v>
      </c>
      <c r="G27" s="46">
        <v>0.09</v>
      </c>
      <c r="H27" s="47">
        <v>4</v>
      </c>
      <c r="I27" s="35">
        <v>0.63</v>
      </c>
      <c r="J27" s="25" t="s">
        <v>19</v>
      </c>
      <c r="K27" s="35">
        <v>0.67</v>
      </c>
      <c r="L27" s="25" t="s">
        <v>19</v>
      </c>
      <c r="M27" s="37">
        <f>IF(AND(ISNUMBER(I27),ISNUMBER(K27)),I27*K27,"")</f>
        <v>0.42210000000000003</v>
      </c>
      <c r="N27" s="38"/>
      <c r="O27" s="39" t="s">
        <v>69</v>
      </c>
    </row>
    <row r="28" spans="1:15" ht="25.5" customHeight="1">
      <c r="A28" s="55">
        <v>17</v>
      </c>
      <c r="B28" s="17" t="s">
        <v>70</v>
      </c>
      <c r="C28" s="56" t="s">
        <v>71</v>
      </c>
      <c r="D28" s="19">
        <v>33000</v>
      </c>
      <c r="E28" s="20">
        <v>35000</v>
      </c>
      <c r="F28" s="21">
        <v>2000</v>
      </c>
      <c r="G28" s="41"/>
      <c r="H28" s="42"/>
      <c r="I28" s="41"/>
      <c r="J28" s="43" t="s">
        <v>23</v>
      </c>
      <c r="K28" s="41"/>
      <c r="L28" s="43" t="s">
        <v>23</v>
      </c>
      <c r="M28" s="26" t="str">
        <f>IF(AND(ISNUMBER(I28),ISNUMBER(K28)),I28*K28,"")</f>
        <v/>
      </c>
      <c r="N28" s="44" t="s">
        <v>33</v>
      </c>
      <c r="O28" s="28" t="s">
        <v>72</v>
      </c>
    </row>
    <row r="29" spans="1:15" ht="25.5" customHeight="1">
      <c r="A29" s="55">
        <v>18</v>
      </c>
      <c r="B29" s="29" t="s">
        <v>73</v>
      </c>
      <c r="C29" s="56" t="s">
        <v>74</v>
      </c>
      <c r="D29" s="30">
        <v>40500</v>
      </c>
      <c r="E29" s="31">
        <v>42500</v>
      </c>
      <c r="F29" s="32">
        <v>2000</v>
      </c>
      <c r="G29" s="46"/>
      <c r="H29" s="47">
        <v>4</v>
      </c>
      <c r="I29" s="35">
        <v>0.56000000000000005</v>
      </c>
      <c r="J29" s="51" t="s">
        <v>46</v>
      </c>
      <c r="K29" s="35">
        <v>0.57999999999999996</v>
      </c>
      <c r="L29" s="25" t="s">
        <v>19</v>
      </c>
      <c r="M29" s="37">
        <f>IF(AND(ISNUMBER(I29),ISNUMBER(K29)),I29*K29,"")</f>
        <v>0.32480000000000003</v>
      </c>
      <c r="N29" s="38"/>
      <c r="O29" s="39" t="s">
        <v>75</v>
      </c>
    </row>
    <row r="30" spans="1:15" ht="25.5" customHeight="1">
      <c r="A30" s="55">
        <v>19</v>
      </c>
      <c r="B30" s="17" t="s">
        <v>76</v>
      </c>
      <c r="C30" s="56" t="s">
        <v>77</v>
      </c>
      <c r="D30" s="19">
        <v>59000</v>
      </c>
      <c r="E30" s="20">
        <v>59000</v>
      </c>
      <c r="F30" s="40">
        <v>0</v>
      </c>
      <c r="G30" s="41"/>
      <c r="H30" s="42"/>
      <c r="I30" s="41"/>
      <c r="J30" s="43" t="s">
        <v>23</v>
      </c>
      <c r="K30" s="41"/>
      <c r="L30" s="43" t="s">
        <v>23</v>
      </c>
      <c r="M30" s="26" t="str">
        <f>IF(AND(ISNUMBER(I30),ISNUMBER(K30)),I30*K30,"")</f>
        <v/>
      </c>
      <c r="N30" s="44" t="s">
        <v>33</v>
      </c>
      <c r="O30" s="28" t="s">
        <v>78</v>
      </c>
    </row>
    <row r="31" spans="1:15" ht="7.5" customHeight="1"/>
    <row r="32" spans="1:15" ht="27.75" customHeight="1">
      <c r="A32" s="8" t="str">
        <f>"   أجهزة مطبخ أخرى   ·   "&amp;COUNTA(B33:B34)&amp;" منتجات   ·   السعر من "&amp;TEXT(MIN(D33:D34),"#,##0")&amp;" إلى "&amp;TEXT(MAX(D33:D34),"#,##0")&amp;" د.ع"</f>
        <v xml:space="preserve">   أجهزة مطبخ أخرى   ·   2 منتجات   ·   السعر من 29,000 إلى 60,000 د.ع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ht="25.5" customHeight="1">
      <c r="A33" s="57">
        <v>20</v>
      </c>
      <c r="B33" s="17" t="s">
        <v>79</v>
      </c>
      <c r="C33" s="58" t="s">
        <v>80</v>
      </c>
      <c r="D33" s="19">
        <v>29000</v>
      </c>
      <c r="E33" s="20">
        <v>31000</v>
      </c>
      <c r="F33" s="21">
        <v>2000</v>
      </c>
      <c r="G33" s="41"/>
      <c r="H33" s="42"/>
      <c r="I33" s="41"/>
      <c r="J33" s="43" t="s">
        <v>23</v>
      </c>
      <c r="K33" s="41"/>
      <c r="L33" s="43" t="s">
        <v>23</v>
      </c>
      <c r="M33" s="26" t="str">
        <f>IF(AND(ISNUMBER(I33),ISNUMBER(K33)),I33*K33,"")</f>
        <v/>
      </c>
      <c r="N33" s="44" t="s">
        <v>33</v>
      </c>
      <c r="O33" s="28" t="s">
        <v>81</v>
      </c>
    </row>
    <row r="34" spans="1:15" ht="25.5" customHeight="1">
      <c r="A34" s="57">
        <v>21</v>
      </c>
      <c r="B34" s="29" t="s">
        <v>82</v>
      </c>
      <c r="C34" s="58" t="s">
        <v>83</v>
      </c>
      <c r="D34" s="30">
        <v>60000</v>
      </c>
      <c r="E34" s="31">
        <v>62000</v>
      </c>
      <c r="F34" s="32">
        <v>2000</v>
      </c>
      <c r="G34" s="33"/>
      <c r="H34" s="34"/>
      <c r="I34" s="33"/>
      <c r="J34" s="36" t="s">
        <v>23</v>
      </c>
      <c r="K34" s="33"/>
      <c r="L34" s="36" t="s">
        <v>23</v>
      </c>
      <c r="M34" s="37" t="str">
        <f>IF(AND(ISNUMBER(I34),ISNUMBER(K34)),I34*K34,"")</f>
        <v/>
      </c>
      <c r="N34" s="48" t="s">
        <v>33</v>
      </c>
      <c r="O34" s="39" t="s">
        <v>84</v>
      </c>
    </row>
    <row r="35" spans="1:15" ht="7.5" customHeight="1"/>
    <row r="36" spans="1:15" ht="27.75" customHeight="1">
      <c r="A36" s="7" t="str">
        <f>"   منزل متنوع   ·   "&amp;COUNTA(B37:B41)&amp;" منتجات   ·   السعر من "&amp;TEXT(MIN(D37:D41),"#,##0")&amp;" إلى "&amp;TEXT(MAX(D37:D41),"#,##0")&amp;" د.ع"</f>
        <v xml:space="preserve">   منزل متنوع   ·   5 منتجات   ·   السعر من 11,500 إلى 59,000 د.ع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25.5" customHeight="1">
      <c r="A37" s="59">
        <v>22</v>
      </c>
      <c r="B37" s="17" t="s">
        <v>85</v>
      </c>
      <c r="C37" s="60" t="s">
        <v>86</v>
      </c>
      <c r="D37" s="19">
        <v>11500</v>
      </c>
      <c r="E37" s="20">
        <v>11500</v>
      </c>
      <c r="F37" s="40">
        <v>0</v>
      </c>
      <c r="G37" s="22">
        <v>0.52</v>
      </c>
      <c r="H37" s="23">
        <v>4</v>
      </c>
      <c r="I37" s="41"/>
      <c r="J37" s="43" t="s">
        <v>23</v>
      </c>
      <c r="K37" s="41"/>
      <c r="L37" s="43" t="s">
        <v>23</v>
      </c>
      <c r="M37" s="26" t="str">
        <f>IF(AND(ISNUMBER(I37),ISNUMBER(K37)),I37*K37,"")</f>
        <v/>
      </c>
      <c r="N37" s="44" t="s">
        <v>33</v>
      </c>
      <c r="O37" s="28" t="s">
        <v>87</v>
      </c>
    </row>
    <row r="38" spans="1:15" ht="25.5" customHeight="1">
      <c r="A38" s="59">
        <v>23</v>
      </c>
      <c r="B38" s="29" t="s">
        <v>88</v>
      </c>
      <c r="C38" s="60" t="s">
        <v>89</v>
      </c>
      <c r="D38" s="30">
        <v>16000</v>
      </c>
      <c r="E38" s="31">
        <v>18000</v>
      </c>
      <c r="F38" s="32">
        <v>2000</v>
      </c>
      <c r="G38" s="46">
        <v>0.12</v>
      </c>
      <c r="H38" s="47">
        <v>4</v>
      </c>
      <c r="I38" s="33"/>
      <c r="J38" s="36" t="s">
        <v>23</v>
      </c>
      <c r="K38" s="33"/>
      <c r="L38" s="36" t="s">
        <v>23</v>
      </c>
      <c r="M38" s="37" t="str">
        <f>IF(AND(ISNUMBER(I38),ISNUMBER(K38)),I38*K38,"")</f>
        <v/>
      </c>
      <c r="N38" s="48" t="s">
        <v>33</v>
      </c>
      <c r="O38" s="39" t="s">
        <v>90</v>
      </c>
    </row>
    <row r="39" spans="1:15" ht="25.5" customHeight="1">
      <c r="A39" s="59">
        <v>24</v>
      </c>
      <c r="B39" s="17" t="s">
        <v>91</v>
      </c>
      <c r="C39" s="60" t="s">
        <v>92</v>
      </c>
      <c r="D39" s="19">
        <v>19000</v>
      </c>
      <c r="E39" s="20">
        <v>21000</v>
      </c>
      <c r="F39" s="21">
        <v>2000</v>
      </c>
      <c r="G39" s="22">
        <v>0.32</v>
      </c>
      <c r="H39" s="23">
        <v>4</v>
      </c>
      <c r="I39" s="24">
        <v>0.71</v>
      </c>
      <c r="J39" s="25" t="s">
        <v>19</v>
      </c>
      <c r="K39" s="24">
        <v>0.56999999999999995</v>
      </c>
      <c r="L39" s="25" t="s">
        <v>19</v>
      </c>
      <c r="M39" s="26">
        <f>IF(AND(ISNUMBER(I39),ISNUMBER(K39)),I39*K39,"")</f>
        <v>0.40469999999999995</v>
      </c>
      <c r="N39" s="27"/>
      <c r="O39" s="28" t="s">
        <v>93</v>
      </c>
    </row>
    <row r="40" spans="1:15" ht="25.5" customHeight="1">
      <c r="A40" s="59">
        <v>25</v>
      </c>
      <c r="B40" s="29" t="s">
        <v>94</v>
      </c>
      <c r="C40" s="60" t="s">
        <v>95</v>
      </c>
      <c r="D40" s="30">
        <v>25500</v>
      </c>
      <c r="E40" s="31">
        <v>28500</v>
      </c>
      <c r="F40" s="32">
        <v>3000</v>
      </c>
      <c r="G40" s="33"/>
      <c r="H40" s="34"/>
      <c r="I40" s="33"/>
      <c r="J40" s="36" t="s">
        <v>23</v>
      </c>
      <c r="K40" s="33"/>
      <c r="L40" s="36" t="s">
        <v>23</v>
      </c>
      <c r="M40" s="37" t="str">
        <f>IF(AND(ISNUMBER(I40),ISNUMBER(K40)),I40*K40,"")</f>
        <v/>
      </c>
      <c r="N40" s="48" t="s">
        <v>33</v>
      </c>
      <c r="O40" s="39" t="s">
        <v>96</v>
      </c>
    </row>
    <row r="41" spans="1:15" ht="25.5" customHeight="1">
      <c r="A41" s="59">
        <v>26</v>
      </c>
      <c r="B41" s="17" t="s">
        <v>97</v>
      </c>
      <c r="C41" s="60" t="s">
        <v>98</v>
      </c>
      <c r="D41" s="19">
        <v>59000</v>
      </c>
      <c r="E41" s="20">
        <v>61000</v>
      </c>
      <c r="F41" s="21">
        <v>2000</v>
      </c>
      <c r="G41" s="41"/>
      <c r="H41" s="42"/>
      <c r="I41" s="41"/>
      <c r="J41" s="43" t="s">
        <v>23</v>
      </c>
      <c r="K41" s="41"/>
      <c r="L41" s="43" t="s">
        <v>23</v>
      </c>
      <c r="M41" s="26" t="str">
        <f>IF(AND(ISNUMBER(I41),ISNUMBER(K41)),I41*K41,"")</f>
        <v/>
      </c>
      <c r="N41" s="44" t="s">
        <v>33</v>
      </c>
      <c r="O41" s="28" t="s">
        <v>99</v>
      </c>
    </row>
    <row r="42" spans="1:15" ht="7.5" customHeight="1"/>
    <row r="43" spans="1:15" ht="27.75" customHeight="1">
      <c r="A43" s="6" t="str">
        <f>"   الأسرّة الهوائية والمنافيخ   ·   "&amp;COUNTA(B44:B46)&amp;" منتجات   ·   السعر من "&amp;TEXT(MIN(D44:D46),"#,##0")&amp;" إلى "&amp;TEXT(MAX(D44:D46),"#,##0")&amp;" د.ع"</f>
        <v xml:space="preserve">   الأسرّة الهوائية والمنافيخ   ·   3 منتجات   ·   السعر من 41,000 إلى 62,500 د.ع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25.5" customHeight="1">
      <c r="A44" s="61">
        <v>27</v>
      </c>
      <c r="B44" s="17" t="s">
        <v>100</v>
      </c>
      <c r="C44" s="62" t="s">
        <v>101</v>
      </c>
      <c r="D44" s="19">
        <v>41000</v>
      </c>
      <c r="E44" s="20">
        <v>43000</v>
      </c>
      <c r="F44" s="21">
        <v>2000</v>
      </c>
      <c r="G44" s="41"/>
      <c r="H44" s="42"/>
      <c r="I44" s="41"/>
      <c r="J44" s="43" t="s">
        <v>23</v>
      </c>
      <c r="K44" s="41"/>
      <c r="L44" s="43" t="s">
        <v>23</v>
      </c>
      <c r="M44" s="26" t="str">
        <f>IF(AND(ISNUMBER(I44),ISNUMBER(K44)),I44*K44,"")</f>
        <v/>
      </c>
      <c r="N44" s="54" t="s">
        <v>102</v>
      </c>
      <c r="O44" s="28" t="s">
        <v>103</v>
      </c>
    </row>
    <row r="45" spans="1:15" ht="25.5" customHeight="1">
      <c r="A45" s="61">
        <v>28</v>
      </c>
      <c r="B45" s="29" t="s">
        <v>104</v>
      </c>
      <c r="C45" s="62" t="s">
        <v>105</v>
      </c>
      <c r="D45" s="30">
        <v>48000</v>
      </c>
      <c r="E45" s="31">
        <v>50000</v>
      </c>
      <c r="F45" s="32">
        <v>2000</v>
      </c>
      <c r="G45" s="33"/>
      <c r="H45" s="34"/>
      <c r="I45" s="35">
        <v>0.76</v>
      </c>
      <c r="J45" s="25" t="s">
        <v>19</v>
      </c>
      <c r="K45" s="33"/>
      <c r="L45" s="36" t="s">
        <v>23</v>
      </c>
      <c r="M45" s="37" t="str">
        <f>IF(AND(ISNUMBER(I45),ISNUMBER(K45)),I45*K45,"")</f>
        <v/>
      </c>
      <c r="N45" s="38"/>
      <c r="O45" s="39" t="s">
        <v>106</v>
      </c>
    </row>
    <row r="46" spans="1:15" ht="25.5" customHeight="1">
      <c r="A46" s="61">
        <v>29</v>
      </c>
      <c r="B46" s="17" t="s">
        <v>107</v>
      </c>
      <c r="C46" s="62" t="s">
        <v>108</v>
      </c>
      <c r="D46" s="19">
        <v>62500</v>
      </c>
      <c r="E46" s="20">
        <v>65500</v>
      </c>
      <c r="F46" s="21">
        <v>3000</v>
      </c>
      <c r="G46" s="41"/>
      <c r="H46" s="42"/>
      <c r="I46" s="41"/>
      <c r="J46" s="43" t="s">
        <v>23</v>
      </c>
      <c r="K46" s="41"/>
      <c r="L46" s="43" t="s">
        <v>23</v>
      </c>
      <c r="M46" s="26" t="str">
        <f>IF(AND(ISNUMBER(I46),ISNUMBER(K46)),I46*K46,"")</f>
        <v/>
      </c>
      <c r="N46" s="44" t="s">
        <v>33</v>
      </c>
      <c r="O46" s="28" t="s">
        <v>109</v>
      </c>
    </row>
    <row r="47" spans="1:15" ht="7.5" customHeight="1"/>
    <row r="48" spans="1:15" ht="27.75" customHeight="1">
      <c r="A48" s="5" t="str">
        <f>"   أثاث وتخييم   ·   "&amp;COUNTA(B49:B50)&amp;" منتجات   ·   السعر من "&amp;TEXT(MIN(D49:D50),"#,##0")&amp;" إلى "&amp;TEXT(MAX(D49:D50),"#,##0")&amp;" د.ع"</f>
        <v xml:space="preserve">   أثاث وتخييم   ·   2 منتجات   ·   السعر من 72,000 إلى 81,000 د.ع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25.5" customHeight="1">
      <c r="A49" s="63">
        <v>30</v>
      </c>
      <c r="B49" s="17" t="s">
        <v>110</v>
      </c>
      <c r="C49" s="64" t="s">
        <v>111</v>
      </c>
      <c r="D49" s="19">
        <v>72000</v>
      </c>
      <c r="E49" s="20">
        <v>75000</v>
      </c>
      <c r="F49" s="21">
        <v>3000</v>
      </c>
      <c r="G49" s="22">
        <v>0.04</v>
      </c>
      <c r="H49" s="23">
        <v>3</v>
      </c>
      <c r="I49" s="41"/>
      <c r="J49" s="43" t="s">
        <v>23</v>
      </c>
      <c r="K49" s="41"/>
      <c r="L49" s="43" t="s">
        <v>23</v>
      </c>
      <c r="M49" s="26" t="str">
        <f>IF(AND(ISNUMBER(I49),ISNUMBER(K49)),I49*K49,"")</f>
        <v/>
      </c>
      <c r="N49" s="44" t="s">
        <v>33</v>
      </c>
      <c r="O49" s="28" t="s">
        <v>112</v>
      </c>
    </row>
    <row r="50" spans="1:15" ht="25.5" customHeight="1">
      <c r="A50" s="63">
        <v>31</v>
      </c>
      <c r="B50" s="29" t="s">
        <v>113</v>
      </c>
      <c r="C50" s="64" t="s">
        <v>114</v>
      </c>
      <c r="D50" s="30">
        <v>81000</v>
      </c>
      <c r="E50" s="31">
        <v>85000</v>
      </c>
      <c r="F50" s="32">
        <v>4000</v>
      </c>
      <c r="G50" s="46">
        <v>7.0000000000000007E-2</v>
      </c>
      <c r="H50" s="47">
        <v>2</v>
      </c>
      <c r="I50" s="33"/>
      <c r="J50" s="36" t="s">
        <v>23</v>
      </c>
      <c r="K50" s="33"/>
      <c r="L50" s="36" t="s">
        <v>23</v>
      </c>
      <c r="M50" s="37" t="str">
        <f>IF(AND(ISNUMBER(I50),ISNUMBER(K50)),I50*K50,"")</f>
        <v/>
      </c>
      <c r="N50" s="48" t="s">
        <v>33</v>
      </c>
      <c r="O50" s="39" t="s">
        <v>115</v>
      </c>
    </row>
    <row r="51" spans="1:15" ht="7.5" customHeight="1"/>
    <row r="52" spans="1:15" ht="27.75" customHeight="1">
      <c r="A52" s="4" t="str">
        <f>"   الطاقة الشمسية   ·   "&amp;COUNTA(B53:B56)&amp;" منتجات   ·   السعر من "&amp;TEXT(MIN(D53:D56),"#,##0")&amp;" إلى "&amp;TEXT(MAX(D53:D56),"#,##0")&amp;" د.ع"</f>
        <v xml:space="preserve">   الطاقة الشمسية   ·   4 منتجات   ·   السعر من 22,000 إلى 212,000 د.ع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25.5" customHeight="1">
      <c r="A53" s="65">
        <v>32</v>
      </c>
      <c r="B53" s="17" t="s">
        <v>116</v>
      </c>
      <c r="C53" s="66" t="s">
        <v>117</v>
      </c>
      <c r="D53" s="19">
        <v>22000</v>
      </c>
      <c r="E53" s="20">
        <v>24000</v>
      </c>
      <c r="F53" s="21">
        <v>2000</v>
      </c>
      <c r="G53" s="41"/>
      <c r="H53" s="42"/>
      <c r="I53" s="41"/>
      <c r="J53" s="43" t="s">
        <v>23</v>
      </c>
      <c r="K53" s="41"/>
      <c r="L53" s="43" t="s">
        <v>23</v>
      </c>
      <c r="M53" s="26" t="str">
        <f>IF(AND(ISNUMBER(I53),ISNUMBER(K53)),I53*K53,"")</f>
        <v/>
      </c>
      <c r="N53" s="44" t="s">
        <v>33</v>
      </c>
      <c r="O53" s="28" t="s">
        <v>118</v>
      </c>
    </row>
    <row r="54" spans="1:15" ht="25.5" customHeight="1">
      <c r="A54" s="65">
        <v>33</v>
      </c>
      <c r="B54" s="29" t="s">
        <v>119</v>
      </c>
      <c r="C54" s="66" t="s">
        <v>120</v>
      </c>
      <c r="D54" s="30">
        <v>33000</v>
      </c>
      <c r="E54" s="31">
        <v>33000</v>
      </c>
      <c r="F54" s="45">
        <v>0</v>
      </c>
      <c r="G54" s="33"/>
      <c r="H54" s="34"/>
      <c r="I54" s="35">
        <v>0.54</v>
      </c>
      <c r="J54" s="51" t="s">
        <v>46</v>
      </c>
      <c r="K54" s="35">
        <v>0.41</v>
      </c>
      <c r="L54" s="51" t="s">
        <v>46</v>
      </c>
      <c r="M54" s="37">
        <f>IF(AND(ISNUMBER(I54),ISNUMBER(K54)),I54*K54,"")</f>
        <v>0.22140000000000001</v>
      </c>
      <c r="N54" s="38"/>
      <c r="O54" s="39" t="s">
        <v>121</v>
      </c>
    </row>
    <row r="55" spans="1:15" ht="25.5" customHeight="1">
      <c r="A55" s="65">
        <v>34</v>
      </c>
      <c r="B55" s="17" t="s">
        <v>122</v>
      </c>
      <c r="C55" s="66" t="s">
        <v>123</v>
      </c>
      <c r="D55" s="19">
        <v>33000</v>
      </c>
      <c r="E55" s="20">
        <v>35000</v>
      </c>
      <c r="F55" s="21">
        <v>2000</v>
      </c>
      <c r="G55" s="41"/>
      <c r="H55" s="42"/>
      <c r="I55" s="41"/>
      <c r="J55" s="43" t="s">
        <v>23</v>
      </c>
      <c r="K55" s="41"/>
      <c r="L55" s="43" t="s">
        <v>23</v>
      </c>
      <c r="M55" s="26" t="str">
        <f>IF(AND(ISNUMBER(I55),ISNUMBER(K55)),I55*K55,"")</f>
        <v/>
      </c>
      <c r="N55" s="44" t="s">
        <v>33</v>
      </c>
      <c r="O55" s="28" t="s">
        <v>124</v>
      </c>
    </row>
    <row r="56" spans="1:15" ht="25.5" customHeight="1">
      <c r="A56" s="65">
        <v>35</v>
      </c>
      <c r="B56" s="29" t="s">
        <v>125</v>
      </c>
      <c r="C56" s="66" t="s">
        <v>126</v>
      </c>
      <c r="D56" s="30">
        <v>212000</v>
      </c>
      <c r="E56" s="31">
        <v>217000</v>
      </c>
      <c r="F56" s="32">
        <v>5000</v>
      </c>
      <c r="G56" s="33"/>
      <c r="H56" s="34"/>
      <c r="I56" s="33"/>
      <c r="J56" s="36" t="s">
        <v>23</v>
      </c>
      <c r="K56" s="33"/>
      <c r="L56" s="36" t="s">
        <v>23</v>
      </c>
      <c r="M56" s="37" t="str">
        <f>IF(AND(ISNUMBER(I56),ISNUMBER(K56)),I56*K56,"")</f>
        <v/>
      </c>
      <c r="N56" s="48" t="s">
        <v>33</v>
      </c>
      <c r="O56" s="39" t="s">
        <v>127</v>
      </c>
    </row>
    <row r="57" spans="1:15" ht="7.5" customHeight="1"/>
    <row r="58" spans="1:15" ht="27.75" customHeight="1">
      <c r="A58" s="3" t="str">
        <f>"   السيارات (داش كام وإكسسوارات)   ·   "&amp;COUNTA(B59:B64)&amp;" منتجات   ·   السعر من "&amp;TEXT(MIN(D59:D64),"#,##0")&amp;" إلى "&amp;TEXT(MAX(D59:D64),"#,##0")&amp;" د.ع"</f>
        <v xml:space="preserve">   السيارات (داش كام وإكسسوارات)   ·   6 منتجات   ·   السعر من 30,000 إلى 90,000 د.ع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25.5" customHeight="1">
      <c r="A59" s="67">
        <v>36</v>
      </c>
      <c r="B59" s="17" t="s">
        <v>128</v>
      </c>
      <c r="C59" s="68" t="s">
        <v>129</v>
      </c>
      <c r="D59" s="19">
        <v>30000</v>
      </c>
      <c r="E59" s="20">
        <v>30000</v>
      </c>
      <c r="F59" s="40">
        <v>0</v>
      </c>
      <c r="G59" s="41"/>
      <c r="H59" s="42"/>
      <c r="I59" s="24">
        <v>0.63</v>
      </c>
      <c r="J59" s="25" t="s">
        <v>19</v>
      </c>
      <c r="K59" s="41"/>
      <c r="L59" s="43" t="s">
        <v>23</v>
      </c>
      <c r="M59" s="26" t="str">
        <f t="shared" ref="M59:M64" si="1">IF(AND(ISNUMBER(I59),ISNUMBER(K59)),I59*K59,"")</f>
        <v/>
      </c>
      <c r="N59" s="27"/>
      <c r="O59" s="28" t="s">
        <v>130</v>
      </c>
    </row>
    <row r="60" spans="1:15" ht="25.5" customHeight="1">
      <c r="A60" s="67">
        <v>37</v>
      </c>
      <c r="B60" s="29" t="s">
        <v>131</v>
      </c>
      <c r="C60" s="68" t="s">
        <v>132</v>
      </c>
      <c r="D60" s="30">
        <v>39000</v>
      </c>
      <c r="E60" s="31">
        <v>41000</v>
      </c>
      <c r="F60" s="32">
        <v>2000</v>
      </c>
      <c r="G60" s="46">
        <v>0.19</v>
      </c>
      <c r="H60" s="47">
        <v>2</v>
      </c>
      <c r="I60" s="35">
        <v>0.59</v>
      </c>
      <c r="J60" s="51" t="s">
        <v>46</v>
      </c>
      <c r="K60" s="35">
        <v>0.46</v>
      </c>
      <c r="L60" s="25" t="s">
        <v>19</v>
      </c>
      <c r="M60" s="37">
        <f t="shared" si="1"/>
        <v>0.27139999999999997</v>
      </c>
      <c r="N60" s="38"/>
      <c r="O60" s="39" t="s">
        <v>133</v>
      </c>
    </row>
    <row r="61" spans="1:15" ht="25.5" customHeight="1">
      <c r="A61" s="67">
        <v>38</v>
      </c>
      <c r="B61" s="17" t="s">
        <v>134</v>
      </c>
      <c r="C61" s="68" t="s">
        <v>135</v>
      </c>
      <c r="D61" s="19">
        <v>42500</v>
      </c>
      <c r="E61" s="20">
        <v>47500</v>
      </c>
      <c r="F61" s="21">
        <v>5000</v>
      </c>
      <c r="G61" s="22">
        <v>0.11</v>
      </c>
      <c r="H61" s="23">
        <v>2</v>
      </c>
      <c r="I61" s="24">
        <v>0.64</v>
      </c>
      <c r="J61" s="25" t="s">
        <v>19</v>
      </c>
      <c r="K61" s="24">
        <v>0.42</v>
      </c>
      <c r="L61" s="51" t="s">
        <v>46</v>
      </c>
      <c r="M61" s="26">
        <f t="shared" si="1"/>
        <v>0.26879999999999998</v>
      </c>
      <c r="N61" s="27"/>
      <c r="O61" s="28" t="s">
        <v>136</v>
      </c>
    </row>
    <row r="62" spans="1:15" ht="25.5" customHeight="1">
      <c r="A62" s="67">
        <v>39</v>
      </c>
      <c r="B62" s="29" t="s">
        <v>137</v>
      </c>
      <c r="C62" s="68" t="s">
        <v>138</v>
      </c>
      <c r="D62" s="30">
        <v>45000</v>
      </c>
      <c r="E62" s="31">
        <v>47000</v>
      </c>
      <c r="F62" s="32">
        <v>2000</v>
      </c>
      <c r="G62" s="33"/>
      <c r="H62" s="34"/>
      <c r="I62" s="35">
        <v>0.61</v>
      </c>
      <c r="J62" s="25" t="s">
        <v>19</v>
      </c>
      <c r="K62" s="33"/>
      <c r="L62" s="36" t="s">
        <v>23</v>
      </c>
      <c r="M62" s="37" t="str">
        <f t="shared" si="1"/>
        <v/>
      </c>
      <c r="N62" s="38"/>
      <c r="O62" s="39" t="s">
        <v>139</v>
      </c>
    </row>
    <row r="63" spans="1:15" ht="25.5" customHeight="1">
      <c r="A63" s="67">
        <v>40</v>
      </c>
      <c r="B63" s="17" t="s">
        <v>140</v>
      </c>
      <c r="C63" s="68" t="s">
        <v>141</v>
      </c>
      <c r="D63" s="19">
        <v>53500</v>
      </c>
      <c r="E63" s="20">
        <v>58500</v>
      </c>
      <c r="F63" s="21">
        <v>5000</v>
      </c>
      <c r="G63" s="41"/>
      <c r="H63" s="42"/>
      <c r="I63" s="24">
        <v>0.63</v>
      </c>
      <c r="J63" s="25" t="s">
        <v>19</v>
      </c>
      <c r="K63" s="24">
        <v>0.5</v>
      </c>
      <c r="L63" s="25" t="s">
        <v>19</v>
      </c>
      <c r="M63" s="26">
        <f t="shared" si="1"/>
        <v>0.315</v>
      </c>
      <c r="N63" s="27"/>
      <c r="O63" s="28" t="s">
        <v>142</v>
      </c>
    </row>
    <row r="64" spans="1:15" ht="25.5" customHeight="1">
      <c r="A64" s="67">
        <v>41</v>
      </c>
      <c r="B64" s="29" t="s">
        <v>143</v>
      </c>
      <c r="C64" s="68" t="s">
        <v>144</v>
      </c>
      <c r="D64" s="30">
        <v>90000</v>
      </c>
      <c r="E64" s="31">
        <v>95000</v>
      </c>
      <c r="F64" s="32">
        <v>5000</v>
      </c>
      <c r="G64" s="33"/>
      <c r="H64" s="34"/>
      <c r="I64" s="35">
        <v>0.71</v>
      </c>
      <c r="J64" s="25" t="s">
        <v>19</v>
      </c>
      <c r="K64" s="35">
        <v>0.4</v>
      </c>
      <c r="L64" s="51" t="s">
        <v>46</v>
      </c>
      <c r="M64" s="37">
        <f t="shared" si="1"/>
        <v>0.28399999999999997</v>
      </c>
      <c r="N64" s="38"/>
      <c r="O64" s="39" t="s">
        <v>145</v>
      </c>
    </row>
    <row r="65" spans="1:15" ht="7.5" customHeight="1"/>
    <row r="66" spans="1:15" ht="27.75" customHeight="1">
      <c r="A66" s="2" t="str">
        <f>"   إلكترونيات وتقنية   ·   "&amp;COUNTA(B67:B70)&amp;" منتجات   ·   السعر من "&amp;TEXT(MIN(D67:D70),"#,##0")&amp;" إلى "&amp;TEXT(MAX(D67:D70),"#,##0")&amp;" د.ع"</f>
        <v xml:space="preserve">   إلكترونيات وتقنية   ·   4 منتجات   ·   السعر من 17,000 إلى 38,500 د.ع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25.5" customHeight="1">
      <c r="A67" s="69">
        <v>42</v>
      </c>
      <c r="B67" s="17" t="s">
        <v>146</v>
      </c>
      <c r="C67" s="70" t="s">
        <v>147</v>
      </c>
      <c r="D67" s="19">
        <v>17000</v>
      </c>
      <c r="E67" s="20">
        <v>18000</v>
      </c>
      <c r="F67" s="21">
        <v>1000</v>
      </c>
      <c r="G67" s="22">
        <v>0.26</v>
      </c>
      <c r="H67" s="23">
        <v>3</v>
      </c>
      <c r="I67" s="41"/>
      <c r="J67" s="43" t="s">
        <v>23</v>
      </c>
      <c r="K67" s="41"/>
      <c r="L67" s="43" t="s">
        <v>23</v>
      </c>
      <c r="M67" s="26" t="str">
        <f>IF(AND(ISNUMBER(I67),ISNUMBER(K67)),I67*K67,"")</f>
        <v/>
      </c>
      <c r="N67" s="44" t="s">
        <v>33</v>
      </c>
      <c r="O67" s="28" t="s">
        <v>148</v>
      </c>
    </row>
    <row r="68" spans="1:15" ht="25.5" customHeight="1">
      <c r="A68" s="69">
        <v>43</v>
      </c>
      <c r="B68" s="29" t="s">
        <v>149</v>
      </c>
      <c r="C68" s="70" t="s">
        <v>150</v>
      </c>
      <c r="D68" s="30">
        <v>29500</v>
      </c>
      <c r="E68" s="31">
        <v>31500</v>
      </c>
      <c r="F68" s="32">
        <v>2000</v>
      </c>
      <c r="G68" s="46">
        <v>0.32</v>
      </c>
      <c r="H68" s="47">
        <v>4</v>
      </c>
      <c r="I68" s="33"/>
      <c r="J68" s="36" t="s">
        <v>23</v>
      </c>
      <c r="K68" s="35">
        <v>0.67</v>
      </c>
      <c r="L68" s="25" t="s">
        <v>19</v>
      </c>
      <c r="M68" s="37" t="str">
        <f>IF(AND(ISNUMBER(I68),ISNUMBER(K68)),I68*K68,"")</f>
        <v/>
      </c>
      <c r="N68" s="38"/>
      <c r="O68" s="39" t="s">
        <v>151</v>
      </c>
    </row>
    <row r="69" spans="1:15" ht="25.5" customHeight="1">
      <c r="A69" s="69">
        <v>44</v>
      </c>
      <c r="B69" s="17" t="s">
        <v>152</v>
      </c>
      <c r="C69" s="70" t="s">
        <v>153</v>
      </c>
      <c r="D69" s="19">
        <v>34000</v>
      </c>
      <c r="E69" s="20">
        <v>36000</v>
      </c>
      <c r="F69" s="21">
        <v>2000</v>
      </c>
      <c r="G69" s="41"/>
      <c r="H69" s="42"/>
      <c r="I69" s="41"/>
      <c r="J69" s="43" t="s">
        <v>23</v>
      </c>
      <c r="K69" s="41"/>
      <c r="L69" s="43" t="s">
        <v>23</v>
      </c>
      <c r="M69" s="26" t="str">
        <f>IF(AND(ISNUMBER(I69),ISNUMBER(K69)),I69*K69,"")</f>
        <v/>
      </c>
      <c r="N69" s="44" t="s">
        <v>33</v>
      </c>
      <c r="O69" s="28" t="s">
        <v>154</v>
      </c>
    </row>
    <row r="70" spans="1:15" ht="25.5" customHeight="1">
      <c r="A70" s="69">
        <v>45</v>
      </c>
      <c r="B70" s="29" t="s">
        <v>155</v>
      </c>
      <c r="C70" s="70" t="s">
        <v>156</v>
      </c>
      <c r="D70" s="30">
        <v>38500</v>
      </c>
      <c r="E70" s="31">
        <v>38500</v>
      </c>
      <c r="F70" s="45">
        <v>0</v>
      </c>
      <c r="G70" s="33"/>
      <c r="H70" s="34"/>
      <c r="I70" s="33"/>
      <c r="J70" s="36" t="s">
        <v>23</v>
      </c>
      <c r="K70" s="33"/>
      <c r="L70" s="36" t="s">
        <v>23</v>
      </c>
      <c r="M70" s="37" t="str">
        <f>IF(AND(ISNUMBER(I70),ISNUMBER(K70)),I70*K70,"")</f>
        <v/>
      </c>
      <c r="N70" s="48" t="s">
        <v>33</v>
      </c>
      <c r="O70" s="39" t="s">
        <v>157</v>
      </c>
    </row>
    <row r="71" spans="1:15" ht="7.5" customHeight="1"/>
    <row r="72" spans="1:15" ht="27.75" customHeight="1">
      <c r="A72" s="1" t="str">
        <f>"   العزل والصيانة   ·   "&amp;COUNTA(B73:B74)&amp;" منتجات   ·   السعر من "&amp;TEXT(MIN(D73:D74),"#,##0")&amp;" إلى "&amp;TEXT(MAX(D73:D74),"#,##0")&amp;" د.ع"</f>
        <v xml:space="preserve">   العزل والصيانة   ·   2 منتجات   ·   السعر من 14,000 إلى 15,500 د.ع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25.5" customHeight="1">
      <c r="A73" s="71">
        <v>46</v>
      </c>
      <c r="B73" s="17" t="s">
        <v>158</v>
      </c>
      <c r="C73" s="72" t="s">
        <v>159</v>
      </c>
      <c r="D73" s="19">
        <v>14000</v>
      </c>
      <c r="E73" s="20">
        <v>16000</v>
      </c>
      <c r="F73" s="21">
        <v>2000</v>
      </c>
      <c r="G73" s="22">
        <v>0.36</v>
      </c>
      <c r="H73" s="23">
        <v>2</v>
      </c>
      <c r="I73" s="41"/>
      <c r="J73" s="43" t="s">
        <v>23</v>
      </c>
      <c r="K73" s="41"/>
      <c r="L73" s="43" t="s">
        <v>23</v>
      </c>
      <c r="M73" s="26" t="str">
        <f>IF(AND(ISNUMBER(I73),ISNUMBER(K73)),I73*K73,"")</f>
        <v/>
      </c>
      <c r="N73" s="44" t="s">
        <v>33</v>
      </c>
      <c r="O73" s="28" t="s">
        <v>160</v>
      </c>
    </row>
    <row r="74" spans="1:15" ht="25.5" customHeight="1">
      <c r="A74" s="71">
        <v>47</v>
      </c>
      <c r="B74" s="29" t="s">
        <v>161</v>
      </c>
      <c r="C74" s="72" t="s">
        <v>162</v>
      </c>
      <c r="D74" s="30">
        <v>15500</v>
      </c>
      <c r="E74" s="31">
        <v>17500</v>
      </c>
      <c r="F74" s="32">
        <v>2000</v>
      </c>
      <c r="G74" s="46">
        <v>0.45</v>
      </c>
      <c r="H74" s="47">
        <v>5</v>
      </c>
      <c r="I74" s="33"/>
      <c r="J74" s="36" t="s">
        <v>23</v>
      </c>
      <c r="K74" s="33"/>
      <c r="L74" s="36" t="s">
        <v>23</v>
      </c>
      <c r="M74" s="37" t="str">
        <f>IF(AND(ISNUMBER(I74),ISNUMBER(K74)),I74*K74,"")</f>
        <v/>
      </c>
      <c r="N74" s="48" t="s">
        <v>33</v>
      </c>
      <c r="O74" s="39" t="s">
        <v>163</v>
      </c>
    </row>
    <row r="75" spans="1:15" ht="7.5" customHeight="1"/>
    <row r="76" spans="1:15">
      <c r="A76" s="96" t="s">
        <v>164</v>
      </c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</row>
    <row r="77" spans="1:15" ht="15" customHeight="1">
      <c r="A77" s="73" t="s">
        <v>165</v>
      </c>
      <c r="B77" s="97" t="s">
        <v>166</v>
      </c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</row>
    <row r="78" spans="1:15" ht="15" customHeight="1">
      <c r="A78" s="74" t="s">
        <v>165</v>
      </c>
      <c r="B78" s="97" t="s">
        <v>167</v>
      </c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</row>
    <row r="79" spans="1:15" ht="15" customHeight="1">
      <c r="A79" s="75" t="s">
        <v>165</v>
      </c>
      <c r="B79" s="97" t="s">
        <v>168</v>
      </c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</row>
    <row r="80" spans="1:15" ht="15" customHeight="1">
      <c r="A80" s="76" t="s">
        <v>165</v>
      </c>
      <c r="B80" s="97" t="s">
        <v>169</v>
      </c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</row>
    <row r="81" spans="1:15" ht="15" customHeight="1">
      <c r="A81" s="77" t="s">
        <v>165</v>
      </c>
      <c r="B81" s="97" t="s">
        <v>170</v>
      </c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</row>
  </sheetData>
  <mergeCells count="20">
    <mergeCell ref="B77:O77"/>
    <mergeCell ref="B78:O78"/>
    <mergeCell ref="B79:O79"/>
    <mergeCell ref="B80:O80"/>
    <mergeCell ref="B81:O81"/>
    <mergeCell ref="A52:O52"/>
    <mergeCell ref="A58:O58"/>
    <mergeCell ref="A66:O66"/>
    <mergeCell ref="A72:O72"/>
    <mergeCell ref="A76:O76"/>
    <mergeCell ref="A25:O25"/>
    <mergeCell ref="A32:O32"/>
    <mergeCell ref="A36:O36"/>
    <mergeCell ref="A43:O43"/>
    <mergeCell ref="A48:O48"/>
    <mergeCell ref="A1:O1"/>
    <mergeCell ref="A2:O2"/>
    <mergeCell ref="A5:O5"/>
    <mergeCell ref="A15:O15"/>
    <mergeCell ref="A19:O19"/>
  </mergeCells>
  <conditionalFormatting sqref="I5:I74">
    <cfRule type="colorScale" priority="2">
      <colorScale>
        <cfvo type="num" val="0.35"/>
        <cfvo type="num" val="0.55000000000000004"/>
        <cfvo type="num" val="0.85"/>
        <color rgb="FFFDE68A"/>
        <color rgb="FFFFFFFF"/>
        <color rgb="FF86EFAC"/>
      </colorScale>
    </cfRule>
  </conditionalFormatting>
  <conditionalFormatting sqref="K5:K74">
    <cfRule type="colorScale" priority="3">
      <colorScale>
        <cfvo type="num" val="0.35"/>
        <cfvo type="num" val="0.55000000000000004"/>
        <cfvo type="num" val="0.85"/>
        <color rgb="FFFDE68A"/>
        <color rgb="FFFFFFFF"/>
        <color rgb="FF86EFAC"/>
      </colorScale>
    </cfRule>
  </conditionalFormatting>
  <conditionalFormatting sqref="M5:M74">
    <cfRule type="colorScale" priority="4">
      <colorScale>
        <cfvo type="num" val="0.35"/>
        <cfvo type="num" val="0.55000000000000004"/>
        <cfvo type="num" val="0.85"/>
        <color rgb="FFFDE68A"/>
        <color rgb="FFFFFFFF"/>
        <color rgb="FF86EFAC"/>
      </colorScale>
    </cfRule>
  </conditionalFormatting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85A8-87CD-498B-833F-3B9B18E9C02D}">
  <dimension ref="A1:M11"/>
  <sheetViews>
    <sheetView workbookViewId="0">
      <selection activeCell="B12" sqref="B12"/>
    </sheetView>
  </sheetViews>
  <sheetFormatPr defaultRowHeight="14.6"/>
  <sheetData>
    <row r="1" spans="1:13">
      <c r="A1" t="s">
        <v>17</v>
      </c>
      <c r="B1" t="s">
        <v>18</v>
      </c>
      <c r="C1" t="s">
        <v>194</v>
      </c>
      <c r="D1" t="s">
        <v>195</v>
      </c>
      <c r="E1" t="s">
        <v>196</v>
      </c>
      <c r="F1" s="99">
        <v>0.03</v>
      </c>
      <c r="G1" t="s">
        <v>197</v>
      </c>
      <c r="H1" s="99">
        <v>0.83</v>
      </c>
      <c r="I1" t="s">
        <v>19</v>
      </c>
      <c r="J1" s="99">
        <v>0.71</v>
      </c>
      <c r="K1" t="s">
        <v>19</v>
      </c>
      <c r="L1" s="99">
        <v>0.59</v>
      </c>
    </row>
    <row r="2" spans="1:13">
      <c r="A2" t="s">
        <v>21</v>
      </c>
      <c r="B2" t="s">
        <v>22</v>
      </c>
      <c r="C2" t="s">
        <v>198</v>
      </c>
      <c r="D2" t="s">
        <v>199</v>
      </c>
      <c r="E2" t="s">
        <v>196</v>
      </c>
      <c r="H2" s="99">
        <v>0.79</v>
      </c>
      <c r="I2" t="s">
        <v>19</v>
      </c>
      <c r="K2" t="s">
        <v>23</v>
      </c>
    </row>
    <row r="3" spans="1:13">
      <c r="A3">
        <v>4</v>
      </c>
      <c r="B3" t="s">
        <v>28</v>
      </c>
      <c r="C3" t="s">
        <v>29</v>
      </c>
      <c r="D3" t="s">
        <v>199</v>
      </c>
      <c r="E3" t="s">
        <v>200</v>
      </c>
      <c r="F3" t="s">
        <v>196</v>
      </c>
      <c r="I3" s="99">
        <v>0.63</v>
      </c>
      <c r="J3" t="s">
        <v>19</v>
      </c>
      <c r="L3" t="s">
        <v>23</v>
      </c>
    </row>
    <row r="4" spans="1:13">
      <c r="A4">
        <v>9</v>
      </c>
      <c r="B4" t="s">
        <v>44</v>
      </c>
      <c r="C4" t="s">
        <v>45</v>
      </c>
      <c r="D4" t="s">
        <v>201</v>
      </c>
      <c r="E4" t="s">
        <v>202</v>
      </c>
      <c r="F4" t="s">
        <v>196</v>
      </c>
      <c r="G4" s="99">
        <v>0.12</v>
      </c>
      <c r="H4" t="s">
        <v>197</v>
      </c>
      <c r="I4" s="99">
        <v>0.5</v>
      </c>
      <c r="J4" t="s">
        <v>46</v>
      </c>
      <c r="K4" s="99">
        <v>0.62</v>
      </c>
      <c r="L4" t="s">
        <v>19</v>
      </c>
      <c r="M4" s="99">
        <v>0.31</v>
      </c>
    </row>
    <row r="5" spans="1:13">
      <c r="A5" t="s">
        <v>51</v>
      </c>
      <c r="B5" t="s">
        <v>52</v>
      </c>
      <c r="C5" t="s">
        <v>203</v>
      </c>
      <c r="D5" t="s">
        <v>204</v>
      </c>
      <c r="E5" t="s">
        <v>205</v>
      </c>
      <c r="F5" s="99">
        <v>0.23</v>
      </c>
      <c r="G5" t="s">
        <v>206</v>
      </c>
      <c r="H5" s="99">
        <v>0.56000000000000005</v>
      </c>
      <c r="I5" t="s">
        <v>46</v>
      </c>
      <c r="J5" s="99">
        <v>0.62</v>
      </c>
      <c r="K5" t="s">
        <v>19</v>
      </c>
      <c r="L5" s="99">
        <v>0.35</v>
      </c>
    </row>
    <row r="6" spans="1:13">
      <c r="A6" t="s">
        <v>54</v>
      </c>
      <c r="B6" t="s">
        <v>55</v>
      </c>
      <c r="C6" t="s">
        <v>200</v>
      </c>
      <c r="D6" t="s">
        <v>207</v>
      </c>
      <c r="E6" t="s">
        <v>205</v>
      </c>
      <c r="F6" s="99">
        <v>0.31</v>
      </c>
      <c r="G6" t="s">
        <v>208</v>
      </c>
      <c r="H6" s="99">
        <v>0.53</v>
      </c>
      <c r="I6" t="s">
        <v>46</v>
      </c>
      <c r="J6" s="99">
        <v>0.69</v>
      </c>
      <c r="K6" t="s">
        <v>19</v>
      </c>
      <c r="L6" s="99">
        <v>0.37</v>
      </c>
    </row>
    <row r="7" spans="1:13">
      <c r="A7" t="s">
        <v>57</v>
      </c>
      <c r="B7" t="s">
        <v>58</v>
      </c>
      <c r="C7" t="s">
        <v>209</v>
      </c>
      <c r="D7" t="s">
        <v>210</v>
      </c>
      <c r="E7" t="s">
        <v>205</v>
      </c>
      <c r="I7" t="s">
        <v>23</v>
      </c>
      <c r="K7" t="s">
        <v>23</v>
      </c>
    </row>
    <row r="8" spans="1:13">
      <c r="A8">
        <v>22</v>
      </c>
      <c r="B8" t="s">
        <v>85</v>
      </c>
      <c r="C8" t="s">
        <v>86</v>
      </c>
      <c r="D8" t="s">
        <v>211</v>
      </c>
      <c r="E8" t="s">
        <v>211</v>
      </c>
      <c r="F8" t="s">
        <v>212</v>
      </c>
      <c r="G8" s="99">
        <v>0.52</v>
      </c>
      <c r="H8" t="s">
        <v>197</v>
      </c>
      <c r="J8" t="s">
        <v>23</v>
      </c>
      <c r="L8" t="s">
        <v>23</v>
      </c>
    </row>
    <row r="9" spans="1:13">
      <c r="A9">
        <v>24</v>
      </c>
      <c r="B9" t="s">
        <v>91</v>
      </c>
      <c r="C9" t="s">
        <v>92</v>
      </c>
      <c r="D9" t="s">
        <v>213</v>
      </c>
      <c r="E9" t="s">
        <v>195</v>
      </c>
      <c r="F9" t="s">
        <v>205</v>
      </c>
      <c r="G9" s="99">
        <v>0.32</v>
      </c>
      <c r="H9" t="s">
        <v>197</v>
      </c>
      <c r="I9" s="99">
        <v>0.71</v>
      </c>
      <c r="J9" t="s">
        <v>19</v>
      </c>
      <c r="K9" s="99">
        <v>0.56999999999999995</v>
      </c>
      <c r="L9" t="s">
        <v>19</v>
      </c>
      <c r="M9" s="99">
        <v>0.4</v>
      </c>
    </row>
    <row r="10" spans="1:13">
      <c r="A10" t="s">
        <v>140</v>
      </c>
      <c r="B10" t="s">
        <v>141</v>
      </c>
      <c r="C10" t="s">
        <v>214</v>
      </c>
      <c r="D10" t="s">
        <v>215</v>
      </c>
      <c r="E10" t="s">
        <v>216</v>
      </c>
      <c r="H10" s="99">
        <v>0.63</v>
      </c>
      <c r="I10" t="s">
        <v>19</v>
      </c>
      <c r="J10" s="99">
        <v>0.5</v>
      </c>
      <c r="K10" t="s">
        <v>19</v>
      </c>
      <c r="L10" s="99">
        <v>0.32</v>
      </c>
    </row>
    <row r="11" spans="1:13">
      <c r="A11" t="s">
        <v>143</v>
      </c>
      <c r="B11" t="s">
        <v>144</v>
      </c>
      <c r="C11" t="s">
        <v>217</v>
      </c>
      <c r="D11" t="s">
        <v>218</v>
      </c>
      <c r="E11" t="s">
        <v>216</v>
      </c>
      <c r="H11" s="99">
        <v>0.71</v>
      </c>
      <c r="I11" t="s">
        <v>19</v>
      </c>
      <c r="J11" s="99">
        <v>0.4</v>
      </c>
      <c r="K11" t="s">
        <v>46</v>
      </c>
      <c r="L11" s="99">
        <v>0.28000000000000003</v>
      </c>
      <c r="M11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rightToLeft="1" zoomScaleNormal="100" workbookViewId="0">
      <selection sqref="A1:I1"/>
    </sheetView>
  </sheetViews>
  <sheetFormatPr defaultColWidth="8.69140625" defaultRowHeight="14.6"/>
  <cols>
    <col min="1" max="1" width="32" customWidth="1"/>
    <col min="2" max="2" width="13" customWidth="1"/>
    <col min="3" max="5" width="14" customWidth="1"/>
    <col min="6" max="6" width="16" customWidth="1"/>
    <col min="7" max="8" width="15" customWidth="1"/>
    <col min="9" max="9" width="16" customWidth="1"/>
  </cols>
  <sheetData>
    <row r="1" spans="1:9" ht="36" customHeight="1">
      <c r="A1" s="98" t="s">
        <v>171</v>
      </c>
      <c r="B1" s="98"/>
      <c r="C1" s="98"/>
      <c r="D1" s="98"/>
      <c r="E1" s="98"/>
      <c r="F1" s="98"/>
      <c r="G1" s="98"/>
      <c r="H1" s="98"/>
      <c r="I1" s="98"/>
    </row>
    <row r="3" spans="1:9" ht="31.5" customHeight="1">
      <c r="A3" s="78" t="s">
        <v>172</v>
      </c>
      <c r="B3" s="78" t="s">
        <v>173</v>
      </c>
      <c r="C3" s="78" t="s">
        <v>174</v>
      </c>
      <c r="D3" s="78" t="s">
        <v>175</v>
      </c>
      <c r="E3" s="78" t="s">
        <v>176</v>
      </c>
      <c r="F3" s="78" t="s">
        <v>177</v>
      </c>
      <c r="G3" s="78" t="s">
        <v>178</v>
      </c>
      <c r="H3" s="78" t="s">
        <v>179</v>
      </c>
      <c r="I3" s="78" t="s">
        <v>180</v>
      </c>
    </row>
    <row r="4" spans="1:9" ht="24" customHeight="1">
      <c r="A4" s="79" t="s">
        <v>181</v>
      </c>
      <c r="B4" s="80">
        <f>COUNTA(المنتجات!B6:B13)</f>
        <v>8</v>
      </c>
      <c r="C4" s="20">
        <f>MIN(المنتجات!D6:D13)</f>
        <v>18000</v>
      </c>
      <c r="D4" s="20">
        <f>MAX(المنتجات!D6:D13)</f>
        <v>101000</v>
      </c>
      <c r="E4" s="20">
        <f>AVERAGE(المنتجات!D6:D13)</f>
        <v>48937.5</v>
      </c>
      <c r="F4" s="80">
        <f>COUNT(المنتجات!I6:I13)+SUMPRODUCT(--NOT(ISNUMBER(المنتجات!I6:I13)),--ISNUMBER(المنتجات!K6:K13))</f>
        <v>4</v>
      </c>
      <c r="G4" s="41">
        <f>IF(COUNT(المنتجات!I6:I13)=0,"-",MAX(المنتجات!I6:I13))</f>
        <v>0.83</v>
      </c>
      <c r="H4" s="41">
        <f>IF(COUNT(المنتجات!K6:K13)=0,"-",MAX(المنتجات!K6:K13))</f>
        <v>0.71</v>
      </c>
      <c r="I4" s="41">
        <f>IF(COUNT(المنتجات!M6:M13)=0,"-",MAX(المنتجات!M6:M13))</f>
        <v>0.58929999999999993</v>
      </c>
    </row>
    <row r="5" spans="1:9" ht="24" customHeight="1">
      <c r="A5" s="81" t="s">
        <v>182</v>
      </c>
      <c r="B5" s="82">
        <f>COUNTA(المنتجات!B16:B17)</f>
        <v>2</v>
      </c>
      <c r="C5" s="31">
        <f>MIN(المنتجات!D16:D17)</f>
        <v>37000</v>
      </c>
      <c r="D5" s="31">
        <f>MAX(المنتجات!D16:D17)</f>
        <v>47000</v>
      </c>
      <c r="E5" s="31">
        <f>AVERAGE(المنتجات!D16:D17)</f>
        <v>42000</v>
      </c>
      <c r="F5" s="82">
        <f>COUNT(المنتجات!I16:I17)+SUMPRODUCT(--NOT(ISNUMBER(المنتجات!I16:I17)),--ISNUMBER(المنتجات!K16:K17))</f>
        <v>1</v>
      </c>
      <c r="G5" s="33">
        <f>IF(COUNT(المنتجات!I16:I17)=0,"-",MAX(المنتجات!I16:I17))</f>
        <v>0.5</v>
      </c>
      <c r="H5" s="33">
        <f>IF(COUNT(المنتجات!K16:K17)=0,"-",MAX(المنتجات!K16:K17))</f>
        <v>0.62</v>
      </c>
      <c r="I5" s="33">
        <f>IF(COUNT(المنتجات!M16:M17)=0,"-",MAX(المنتجات!M16:M17))</f>
        <v>0.31</v>
      </c>
    </row>
    <row r="6" spans="1:9" ht="24" customHeight="1">
      <c r="A6" s="83" t="s">
        <v>183</v>
      </c>
      <c r="B6" s="80">
        <f>COUNTA(المنتجات!B20:B23)</f>
        <v>4</v>
      </c>
      <c r="C6" s="20">
        <f>MIN(المنتجات!D20:D23)</f>
        <v>26500</v>
      </c>
      <c r="D6" s="20">
        <f>MAX(المنتجات!D20:D23)</f>
        <v>88500</v>
      </c>
      <c r="E6" s="20">
        <f>AVERAGE(المنتجات!D20:D23)</f>
        <v>49250</v>
      </c>
      <c r="F6" s="80">
        <f>COUNT(المنتجات!I20:I23)+SUMPRODUCT(--NOT(ISNUMBER(المنتجات!I20:I23)),--ISNUMBER(المنتجات!K20:K23))</f>
        <v>2</v>
      </c>
      <c r="G6" s="41">
        <f>IF(COUNT(المنتجات!I20:I23)=0,"-",MAX(المنتجات!I20:I23))</f>
        <v>0.56000000000000005</v>
      </c>
      <c r="H6" s="41">
        <f>IF(COUNT(المنتجات!K20:K23)=0,"-",MAX(المنتجات!K20:K23))</f>
        <v>0.69</v>
      </c>
      <c r="I6" s="41">
        <f>IF(COUNT(المنتجات!M20:M23)=0,"-",MAX(المنتجات!M20:M23))</f>
        <v>0.36569999999999997</v>
      </c>
    </row>
    <row r="7" spans="1:9" ht="24" customHeight="1">
      <c r="A7" s="84" t="s">
        <v>184</v>
      </c>
      <c r="B7" s="82">
        <f>COUNTA(المنتجات!B26:B30)</f>
        <v>5</v>
      </c>
      <c r="C7" s="31">
        <f>MIN(المنتجات!D26:D30)</f>
        <v>21000</v>
      </c>
      <c r="D7" s="31">
        <f>MAX(المنتجات!D26:D30)</f>
        <v>59000</v>
      </c>
      <c r="E7" s="31">
        <f>AVERAGE(المنتجات!D26:D30)</f>
        <v>36500</v>
      </c>
      <c r="F7" s="82">
        <f>COUNT(المنتجات!I26:I30)+SUMPRODUCT(--NOT(ISNUMBER(المنتجات!I26:I30)),--ISNUMBER(المنتجات!K26:K30))</f>
        <v>3</v>
      </c>
      <c r="G7" s="33">
        <f>IF(COUNT(المنتجات!I26:I30)=0,"-",MAX(المنتجات!I26:I30))</f>
        <v>0.63</v>
      </c>
      <c r="H7" s="33">
        <f>IF(COUNT(المنتجات!K26:K30)=0,"-",MAX(المنتجات!K26:K30))</f>
        <v>0.67</v>
      </c>
      <c r="I7" s="33">
        <f>IF(COUNT(المنتجات!M26:M30)=0,"-",MAX(المنتجات!M26:M30))</f>
        <v>0.42210000000000003</v>
      </c>
    </row>
    <row r="8" spans="1:9" ht="24" customHeight="1">
      <c r="A8" s="85" t="s">
        <v>185</v>
      </c>
      <c r="B8" s="80">
        <f>COUNTA(المنتجات!B33:B34)</f>
        <v>2</v>
      </c>
      <c r="C8" s="20">
        <f>MIN(المنتجات!D33:D34)</f>
        <v>29000</v>
      </c>
      <c r="D8" s="20">
        <f>MAX(المنتجات!D33:D34)</f>
        <v>60000</v>
      </c>
      <c r="E8" s="20">
        <f>AVERAGE(المنتجات!D33:D34)</f>
        <v>44500</v>
      </c>
      <c r="F8" s="80">
        <f>COUNT(المنتجات!I33:I34)+SUMPRODUCT(--NOT(ISNUMBER(المنتجات!I33:I34)),--ISNUMBER(المنتجات!K33:K34))</f>
        <v>0</v>
      </c>
      <c r="G8" s="41" t="str">
        <f>IF(COUNT(المنتجات!I33:I34)=0,"-",MAX(المنتجات!I33:I34))</f>
        <v>-</v>
      </c>
      <c r="H8" s="41" t="str">
        <f>IF(COUNT(المنتجات!K33:K34)=0,"-",MAX(المنتجات!K33:K34))</f>
        <v>-</v>
      </c>
      <c r="I8" s="41" t="str">
        <f>IF(COUNT(المنتجات!M33:M34)=0,"-",MAX(المنتجات!M33:M34))</f>
        <v>-</v>
      </c>
    </row>
    <row r="9" spans="1:9" ht="24" customHeight="1">
      <c r="A9" s="86" t="s">
        <v>186</v>
      </c>
      <c r="B9" s="82">
        <f>COUNTA(المنتجات!B37:B41)</f>
        <v>5</v>
      </c>
      <c r="C9" s="31">
        <f>MIN(المنتجات!D37:D41)</f>
        <v>11500</v>
      </c>
      <c r="D9" s="31">
        <f>MAX(المنتجات!D37:D41)</f>
        <v>59000</v>
      </c>
      <c r="E9" s="31">
        <f>AVERAGE(المنتجات!D37:D41)</f>
        <v>26200</v>
      </c>
      <c r="F9" s="82">
        <f>COUNT(المنتجات!I37:I41)+SUMPRODUCT(--NOT(ISNUMBER(المنتجات!I37:I41)),--ISNUMBER(المنتجات!K37:K41))</f>
        <v>1</v>
      </c>
      <c r="G9" s="33">
        <f>IF(COUNT(المنتجات!I37:I41)=0,"-",MAX(المنتجات!I37:I41))</f>
        <v>0.71</v>
      </c>
      <c r="H9" s="33">
        <f>IF(COUNT(المنتجات!K37:K41)=0,"-",MAX(المنتجات!K37:K41))</f>
        <v>0.56999999999999995</v>
      </c>
      <c r="I9" s="33">
        <f>IF(COUNT(المنتجات!M37:M41)=0,"-",MAX(المنتجات!M37:M41))</f>
        <v>0.40469999999999995</v>
      </c>
    </row>
    <row r="10" spans="1:9" ht="24" customHeight="1">
      <c r="A10" s="87" t="s">
        <v>187</v>
      </c>
      <c r="B10" s="80">
        <f>COUNTA(المنتجات!B44:B46)</f>
        <v>3</v>
      </c>
      <c r="C10" s="20">
        <f>MIN(المنتجات!D44:D46)</f>
        <v>41000</v>
      </c>
      <c r="D10" s="20">
        <f>MAX(المنتجات!D44:D46)</f>
        <v>62500</v>
      </c>
      <c r="E10" s="20">
        <f>AVERAGE(المنتجات!D44:D46)</f>
        <v>50500</v>
      </c>
      <c r="F10" s="80">
        <f>COUNT(المنتجات!I44:I46)+SUMPRODUCT(--NOT(ISNUMBER(المنتجات!I44:I46)),--ISNUMBER(المنتجات!K44:K46))</f>
        <v>1</v>
      </c>
      <c r="G10" s="41">
        <f>IF(COUNT(المنتجات!I44:I46)=0,"-",MAX(المنتجات!I44:I46))</f>
        <v>0.76</v>
      </c>
      <c r="H10" s="41" t="str">
        <f>IF(COUNT(المنتجات!K44:K46)=0,"-",MAX(المنتجات!K44:K46))</f>
        <v>-</v>
      </c>
      <c r="I10" s="41" t="str">
        <f>IF(COUNT(المنتجات!M44:M46)=0,"-",MAX(المنتجات!M44:M46))</f>
        <v>-</v>
      </c>
    </row>
    <row r="11" spans="1:9" ht="24" customHeight="1">
      <c r="A11" s="88" t="s">
        <v>188</v>
      </c>
      <c r="B11" s="82">
        <f>COUNTA(المنتجات!B49:B50)</f>
        <v>2</v>
      </c>
      <c r="C11" s="31">
        <f>MIN(المنتجات!D49:D50)</f>
        <v>72000</v>
      </c>
      <c r="D11" s="31">
        <f>MAX(المنتجات!D49:D50)</f>
        <v>81000</v>
      </c>
      <c r="E11" s="31">
        <f>AVERAGE(المنتجات!D49:D50)</f>
        <v>76500</v>
      </c>
      <c r="F11" s="82">
        <f>COUNT(المنتجات!I49:I50)+SUMPRODUCT(--NOT(ISNUMBER(المنتجات!I49:I50)),--ISNUMBER(المنتجات!K49:K50))</f>
        <v>0</v>
      </c>
      <c r="G11" s="33" t="str">
        <f>IF(COUNT(المنتجات!I49:I50)=0,"-",MAX(المنتجات!I49:I50))</f>
        <v>-</v>
      </c>
      <c r="H11" s="33" t="str">
        <f>IF(COUNT(المنتجات!K49:K50)=0,"-",MAX(المنتجات!K49:K50))</f>
        <v>-</v>
      </c>
      <c r="I11" s="33" t="str">
        <f>IF(COUNT(المنتجات!M49:M50)=0,"-",MAX(المنتجات!M49:M50))</f>
        <v>-</v>
      </c>
    </row>
    <row r="12" spans="1:9" ht="24" customHeight="1">
      <c r="A12" s="89" t="s">
        <v>189</v>
      </c>
      <c r="B12" s="80">
        <f>COUNTA(المنتجات!B53:B56)</f>
        <v>4</v>
      </c>
      <c r="C12" s="20">
        <f>MIN(المنتجات!D53:D56)</f>
        <v>22000</v>
      </c>
      <c r="D12" s="20">
        <f>MAX(المنتجات!D53:D56)</f>
        <v>212000</v>
      </c>
      <c r="E12" s="20">
        <f>AVERAGE(المنتجات!D53:D56)</f>
        <v>75000</v>
      </c>
      <c r="F12" s="80">
        <f>COUNT(المنتجات!I53:I56)+SUMPRODUCT(--NOT(ISNUMBER(المنتجات!I53:I56)),--ISNUMBER(المنتجات!K53:K56))</f>
        <v>1</v>
      </c>
      <c r="G12" s="41">
        <f>IF(COUNT(المنتجات!I53:I56)=0,"-",MAX(المنتجات!I53:I56))</f>
        <v>0.54</v>
      </c>
      <c r="H12" s="41">
        <f>IF(COUNT(المنتجات!K53:K56)=0,"-",MAX(المنتجات!K53:K56))</f>
        <v>0.41</v>
      </c>
      <c r="I12" s="41">
        <f>IF(COUNT(المنتجات!M53:M56)=0,"-",MAX(المنتجات!M53:M56))</f>
        <v>0.22140000000000001</v>
      </c>
    </row>
    <row r="13" spans="1:9" ht="24" customHeight="1">
      <c r="A13" s="90" t="s">
        <v>190</v>
      </c>
      <c r="B13" s="82">
        <f>COUNTA(المنتجات!B59:B64)</f>
        <v>6</v>
      </c>
      <c r="C13" s="31">
        <f>MIN(المنتجات!D59:D64)</f>
        <v>30000</v>
      </c>
      <c r="D13" s="31">
        <f>MAX(المنتجات!D59:D64)</f>
        <v>90000</v>
      </c>
      <c r="E13" s="31">
        <f>AVERAGE(المنتجات!D59:D64)</f>
        <v>50000</v>
      </c>
      <c r="F13" s="82">
        <f>COUNT(المنتجات!I59:I64)+SUMPRODUCT(--NOT(ISNUMBER(المنتجات!I59:I64)),--ISNUMBER(المنتجات!K59:K64))</f>
        <v>6</v>
      </c>
      <c r="G13" s="33">
        <f>IF(COUNT(المنتجات!I59:I64)=0,"-",MAX(المنتجات!I59:I64))</f>
        <v>0.71</v>
      </c>
      <c r="H13" s="33">
        <f>IF(COUNT(المنتجات!K59:K64)=0,"-",MAX(المنتجات!K59:K64))</f>
        <v>0.5</v>
      </c>
      <c r="I13" s="33">
        <f>IF(COUNT(المنتجات!M59:M64)=0,"-",MAX(المنتجات!M59:M64))</f>
        <v>0.315</v>
      </c>
    </row>
    <row r="14" spans="1:9" ht="24" customHeight="1">
      <c r="A14" s="91" t="s">
        <v>191</v>
      </c>
      <c r="B14" s="80">
        <f>COUNTA(المنتجات!B67:B70)</f>
        <v>4</v>
      </c>
      <c r="C14" s="20">
        <f>MIN(المنتجات!D67:D70)</f>
        <v>17000</v>
      </c>
      <c r="D14" s="20">
        <f>MAX(المنتجات!D67:D70)</f>
        <v>38500</v>
      </c>
      <c r="E14" s="20">
        <f>AVERAGE(المنتجات!D67:D70)</f>
        <v>29750</v>
      </c>
      <c r="F14" s="80">
        <f>COUNT(المنتجات!I67:I70)+SUMPRODUCT(--NOT(ISNUMBER(المنتجات!I67:I70)),--ISNUMBER(المنتجات!K67:K70))</f>
        <v>1</v>
      </c>
      <c r="G14" s="41" t="str">
        <f>IF(COUNT(المنتجات!I67:I70)=0,"-",MAX(المنتجات!I67:I70))</f>
        <v>-</v>
      </c>
      <c r="H14" s="41">
        <f>IF(COUNT(المنتجات!K67:K70)=0,"-",MAX(المنتجات!K67:K70))</f>
        <v>0.67</v>
      </c>
      <c r="I14" s="41" t="str">
        <f>IF(COUNT(المنتجات!M67:M70)=0,"-",MAX(المنتجات!M67:M70))</f>
        <v>-</v>
      </c>
    </row>
    <row r="15" spans="1:9" ht="24" customHeight="1">
      <c r="A15" s="92" t="s">
        <v>192</v>
      </c>
      <c r="B15" s="82">
        <f>COUNTA(المنتجات!B73:B74)</f>
        <v>2</v>
      </c>
      <c r="C15" s="31">
        <f>MIN(المنتجات!D73:D74)</f>
        <v>14000</v>
      </c>
      <c r="D15" s="31">
        <f>MAX(المنتجات!D73:D74)</f>
        <v>15500</v>
      </c>
      <c r="E15" s="31">
        <f>AVERAGE(المنتجات!D73:D74)</f>
        <v>14750</v>
      </c>
      <c r="F15" s="82">
        <f>COUNT(المنتجات!I73:I74)+SUMPRODUCT(--NOT(ISNUMBER(المنتجات!I73:I74)),--ISNUMBER(المنتجات!K73:K74))</f>
        <v>0</v>
      </c>
      <c r="G15" s="33" t="str">
        <f>IF(COUNT(المنتجات!I73:I74)=0,"-",MAX(المنتجات!I73:I74))</f>
        <v>-</v>
      </c>
      <c r="H15" s="33" t="str">
        <f>IF(COUNT(المنتجات!K73:K74)=0,"-",MAX(المنتجات!K73:K74))</f>
        <v>-</v>
      </c>
      <c r="I15" s="33" t="str">
        <f>IF(COUNT(المنتجات!M73:M74)=0,"-",MAX(المنتجات!M73:M74))</f>
        <v>-</v>
      </c>
    </row>
    <row r="16" spans="1:9" ht="27.75" customHeight="1">
      <c r="A16" s="93" t="s">
        <v>193</v>
      </c>
      <c r="B16" s="93">
        <f>SUM(B4:B15)</f>
        <v>47</v>
      </c>
      <c r="C16" s="94">
        <f>MIN(C4:C15)</f>
        <v>11500</v>
      </c>
      <c r="D16" s="94">
        <f>MAX(D4:D15)</f>
        <v>212000</v>
      </c>
      <c r="E16" s="94">
        <f>AVERAGE(المنتجات!D5:D74)</f>
        <v>45276.595744680853</v>
      </c>
      <c r="F16" s="93">
        <f>SUM(F4:F15)</f>
        <v>20</v>
      </c>
      <c r="G16" s="95">
        <f>MAX(G4:G15)</f>
        <v>0.83</v>
      </c>
      <c r="H16" s="95">
        <f>MAX(H4:H15)</f>
        <v>0.71</v>
      </c>
      <c r="I16" s="95">
        <f>MAX(I4:I15)</f>
        <v>0.58929999999999993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المنتجات</vt:lpstr>
      <vt:lpstr>Sheet1</vt:lpstr>
      <vt:lpstr>ملخص المجموعات</vt:lpstr>
      <vt:lpstr>المنتجات!Print_Titles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Yoga</cp:lastModifiedBy>
  <cp:revision>0</cp:revision>
  <dcterms:created xsi:type="dcterms:W3CDTF">2026-10-26T12:06:02Z</dcterms:created>
  <dcterms:modified xsi:type="dcterms:W3CDTF">2026-10-26T13:29:06Z</dcterms:modified>
  <dc:language>en-US</dc:language>
</cp:coreProperties>
</file>